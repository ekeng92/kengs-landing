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ings" sheetId="1" state="visible" r:id="rId1"/>
    <sheet xmlns:r="http://schemas.openxmlformats.org/officeDocument/2006/relationships" name="Expenses" sheetId="2" state="visible" r:id="rId2"/>
    <sheet xmlns:r="http://schemas.openxmlformats.org/officeDocument/2006/relationships" name="Monthly Summary" sheetId="3" state="visible" r:id="rId3"/>
    <sheet xmlns:r="http://schemas.openxmlformats.org/officeDocument/2006/relationships" name="Investment &amp; ROI" sheetId="4" state="visible" r:id="rId4"/>
    <sheet xmlns:r="http://schemas.openxmlformats.org/officeDocument/2006/relationships" name="Budget vs Actual" sheetId="5" state="visible" r:id="rId5"/>
    <sheet xmlns:r="http://schemas.openxmlformats.org/officeDocument/2006/relationships" name="Category Reference" sheetId="6" state="visible" r:id="rId6"/>
    <sheet xmlns:r="http://schemas.openxmlformats.org/officeDocument/2006/relationships" name="Mileage Log" sheetId="7" state="visible" r:id="rId7"/>
  </sheets>
  <definedNames>
    <definedName name="_xlnm._FilterDatabase" localSheetId="0" hidden="1">'Bookings'!$A$1:$L$101</definedName>
    <definedName name="_xlnm._FilterDatabase" localSheetId="1" hidden="1">'Expenses'!$A$1:$I$201</definedName>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0.0"/>
    <numFmt numFmtId="167" formatCode="$#,##0.00"/>
  </numFmts>
  <fonts count="7">
    <font>
      <name val="Calibri"/>
      <family val="2"/>
      <color theme="1"/>
      <sz val="11"/>
      <scheme val="minor"/>
    </font>
    <font>
      <b val="1"/>
      <color rgb="00FFFFFF"/>
      <sz val="12"/>
    </font>
    <font>
      <b val="1"/>
      <color rgb="002F5233"/>
      <sz val="14"/>
    </font>
    <font>
      <b val="1"/>
    </font>
    <font>
      <b val="1"/>
      <sz val="11"/>
    </font>
    <font>
      <b val="1"/>
      <color rgb="002F5233"/>
      <sz val="12"/>
    </font>
    <font>
      <i val="1"/>
      <color rgb="00666666"/>
    </font>
  </fonts>
  <fills count="6">
    <fill>
      <patternFill/>
    </fill>
    <fill>
      <patternFill patternType="gray125"/>
    </fill>
    <fill>
      <patternFill patternType="solid">
        <fgColor rgb="002F5233"/>
        <bgColor rgb="002F5233"/>
      </patternFill>
    </fill>
    <fill>
      <patternFill patternType="solid">
        <fgColor rgb="00D9E2D9"/>
        <bgColor rgb="00D9E2D9"/>
      </patternFill>
    </fill>
    <fill>
      <patternFill patternType="solid">
        <fgColor rgb="00FFFFCC"/>
        <bgColor rgb="00FFFFCC"/>
      </patternFill>
    </fill>
    <fill>
      <patternFill patternType="solid">
        <fgColor rgb="00FFE0B2"/>
        <bgColor rgb="00FFE0B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164" fontId="0" fillId="0" borderId="1" pivotButton="0" quotePrefix="0" xfId="0"/>
    <xf numFmtId="4" fontId="0" fillId="0" borderId="1" pivotButton="0" quotePrefix="0" xfId="0"/>
    <xf numFmtId="0" fontId="2" fillId="0" borderId="0" pivotButton="0" quotePrefix="0" xfId="0"/>
    <xf numFmtId="165" fontId="0" fillId="0" borderId="1" pivotButton="0" quotePrefix="0" xfId="0"/>
    <xf numFmtId="0" fontId="3" fillId="0" borderId="1" pivotButton="0" quotePrefix="0" xfId="0"/>
    <xf numFmtId="4" fontId="3" fillId="0" borderId="1" pivotButton="0" quotePrefix="0" xfId="0"/>
    <xf numFmtId="165" fontId="3" fillId="0" borderId="1" pivotButton="0" quotePrefix="0" xfId="0"/>
    <xf numFmtId="0" fontId="4" fillId="3" borderId="0" pivotButton="0" quotePrefix="0" xfId="0"/>
    <xf numFmtId="0" fontId="0" fillId="3" borderId="0" pivotButton="0" quotePrefix="0" xfId="0"/>
    <xf numFmtId="4" fontId="0" fillId="0" borderId="0" pivotButton="0" quotePrefix="0" xfId="0"/>
    <xf numFmtId="0" fontId="3" fillId="0" borderId="0" pivotButton="0" quotePrefix="0" xfId="0"/>
    <xf numFmtId="4" fontId="3" fillId="0" borderId="0" pivotButton="0" quotePrefix="0" xfId="0"/>
    <xf numFmtId="0" fontId="5" fillId="0" borderId="0" pivotButton="0" quotePrefix="0" xfId="0"/>
    <xf numFmtId="165" fontId="5" fillId="0" borderId="0" pivotButton="0" quotePrefix="0" xfId="0"/>
    <xf numFmtId="165" fontId="0" fillId="0" borderId="0" pivotButton="0" quotePrefix="0" xfId="0"/>
    <xf numFmtId="166" fontId="0" fillId="0" borderId="0" pivotButton="0" quotePrefix="0" xfId="0"/>
    <xf numFmtId="0" fontId="6" fillId="0" borderId="0" pivotButton="0" quotePrefix="0" xfId="0"/>
    <xf numFmtId="165" fontId="0" fillId="0" borderId="1" pivotButton="0" quotePrefix="0" xfId="0"/>
    <xf numFmtId="165" fontId="3" fillId="0" borderId="1" pivotButton="0" quotePrefix="0" xfId="0"/>
    <xf numFmtId="165" fontId="5" fillId="0" borderId="0" pivotButton="0" quotePrefix="0" xfId="0"/>
    <xf numFmtId="165" fontId="0" fillId="0" borderId="0" pivotButton="0" quotePrefix="0" xfId="0"/>
    <xf numFmtId="166" fontId="0" fillId="0" borderId="0" pivotButton="0" quotePrefix="0" xfId="0"/>
    <xf numFmtId="164" fontId="0" fillId="0" borderId="0" pivotButton="0" quotePrefix="0" xfId="0"/>
    <xf numFmtId="167" fontId="0" fillId="0" borderId="0" pivotButton="0" quotePrefix="0" xfId="0"/>
    <xf numFmtId="167" fontId="3" fillId="0" borderId="0" pivotButton="0" quotePrefix="0" xfId="0"/>
    <xf numFmtId="167" fontId="0" fillId="0" borderId="0" pivotButton="0" quotePrefix="0" xfId="0"/>
    <xf numFmtId="167" fontId="3" fillId="0" borderId="0" pivotButton="0" quotePrefix="0" xfId="0"/>
    <xf numFmtId="0" fontId="3" fillId="2" borderId="1" applyAlignment="1" pivotButton="0" quotePrefix="0" xfId="0">
      <alignment horizontal="center" wrapText="1"/>
    </xf>
    <xf numFmtId="164" fontId="0" fillId="4" borderId="1" pivotButton="0" quotePrefix="0" xfId="0"/>
    <xf numFmtId="0" fontId="0" fillId="4" borderId="1" pivotButton="0" quotePrefix="0" xfId="0"/>
    <xf numFmtId="4" fontId="0" fillId="4" borderId="1" pivotButton="0" quotePrefix="0" xfId="0"/>
    <xf numFmtId="164" fontId="0" fillId="5" borderId="1" pivotButton="0" quotePrefix="0" xfId="0"/>
    <xf numFmtId="0" fontId="0" fillId="5" borderId="1" pivotButton="0" quotePrefix="0" xfId="0"/>
    <xf numFmtId="4"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233"/>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4" customWidth="1" min="7" max="7"/>
    <col width="14" customWidth="1" min="8" max="8"/>
    <col width="15" customWidth="1" min="9" max="9"/>
    <col width="15" customWidth="1" min="10" max="10"/>
    <col width="12" customWidth="1" min="11" max="11"/>
    <col width="28" customWidth="1" min="12" max="12"/>
  </cols>
  <sheetData>
    <row r="1">
      <c r="A1" s="1" t="inlineStr">
        <is>
          <t>Month</t>
        </is>
      </c>
      <c r="B1" s="1" t="inlineStr">
        <is>
          <t>Platform</t>
        </is>
      </c>
      <c r="C1" s="1" t="inlineStr">
        <is>
          <t>Guest Name</t>
        </is>
      </c>
      <c r="D1" s="1" t="inlineStr">
        <is>
          <t>Check-In</t>
        </is>
      </c>
      <c r="E1" s="1" t="inlineStr">
        <is>
          <t>Check-Out</t>
        </is>
      </c>
      <c r="F1" s="1" t="inlineStr">
        <is>
          <t>Nights</t>
        </is>
      </c>
      <c r="G1" s="1" t="inlineStr">
        <is>
          <t>Nightly Rate</t>
        </is>
      </c>
      <c r="H1" s="1" t="inlineStr">
        <is>
          <t>Cleaning Fee</t>
        </is>
      </c>
      <c r="I1" s="1" t="inlineStr">
        <is>
          <t>Gross Revenue</t>
        </is>
      </c>
      <c r="J1" s="1" t="inlineStr">
        <is>
          <t>Platform Fees</t>
        </is>
      </c>
      <c r="K1" s="1" t="inlineStr">
        <is>
          <t>Net Payout</t>
        </is>
      </c>
      <c r="L1" s="1" t="inlineStr">
        <is>
          <t>Notes</t>
        </is>
      </c>
    </row>
    <row r="2">
      <c r="A2" s="2" t="inlineStr">
        <is>
          <t>Mar 2026</t>
        </is>
      </c>
      <c r="B2" s="2" t="inlineStr">
        <is>
          <t>VRBO</t>
        </is>
      </c>
      <c r="C2" s="2" t="n"/>
      <c r="D2" s="3" t="n"/>
      <c r="E2" s="3" t="n"/>
      <c r="F2" s="2" t="n"/>
      <c r="G2" s="4" t="n"/>
      <c r="H2" s="4" t="n"/>
      <c r="I2" s="4" t="n">
        <v>298.42</v>
      </c>
      <c r="J2" s="4" t="n"/>
      <c r="K2" s="4" t="n">
        <v>298.42</v>
      </c>
      <c r="L2" s="2" t="inlineStr">
        <is>
          <t>Payout amount from VRBO — booking details TBD</t>
        </is>
      </c>
    </row>
    <row r="3">
      <c r="A3" s="2" t="inlineStr">
        <is>
          <t>Apr 2026</t>
        </is>
      </c>
      <c r="B3" s="2" t="inlineStr">
        <is>
          <t>Airbnb</t>
        </is>
      </c>
      <c r="C3" s="2" t="inlineStr">
        <is>
          <t>Tyler Nicholson</t>
        </is>
      </c>
      <c r="D3" s="3" t="n">
        <v>46114</v>
      </c>
      <c r="E3" s="3" t="n">
        <v>46118</v>
      </c>
      <c r="F3" s="2" t="n">
        <v>4</v>
      </c>
      <c r="G3" s="4" t="n">
        <v>127.32</v>
      </c>
      <c r="H3" s="4" t="n">
        <v>75</v>
      </c>
      <c r="I3" s="4" t="n">
        <v>609.27</v>
      </c>
      <c r="J3" s="4" t="n">
        <v>18.3</v>
      </c>
      <c r="K3" s="4" t="n">
        <v>590.97</v>
      </c>
      <c r="L3" s="2" t="inlineStr">
        <is>
          <t>Airbnb HMTK9FNMQK | Pet fee: $25.00 | Tax remitted: $40.05</t>
        </is>
      </c>
    </row>
    <row r="4">
      <c r="A4" s="2" t="inlineStr">
        <is>
          <t>Apr 2026</t>
        </is>
      </c>
      <c r="B4" s="2" t="inlineStr">
        <is>
          <t>Airbnb</t>
        </is>
      </c>
      <c r="C4" s="2" t="inlineStr">
        <is>
          <t>Kepi Garner Jr</t>
        </is>
      </c>
      <c r="D4" s="3" t="n">
        <v>46118</v>
      </c>
      <c r="E4" s="3" t="n">
        <v>46120</v>
      </c>
      <c r="F4" s="2" t="n">
        <v>2</v>
      </c>
      <c r="G4" s="4" t="n">
        <v>124.81</v>
      </c>
      <c r="H4" s="4" t="n">
        <v>75</v>
      </c>
      <c r="I4" s="4" t="n">
        <v>324.61</v>
      </c>
      <c r="J4" s="4" t="n">
        <v>9.75</v>
      </c>
      <c r="K4" s="4" t="n">
        <v>314.86</v>
      </c>
      <c r="L4" s="2" t="inlineStr">
        <is>
          <t>Airbnb HMRWNBH82B | Tax remitted: $21.34</t>
        </is>
      </c>
    </row>
    <row r="5">
      <c r="A5" s="2" t="inlineStr">
        <is>
          <t>Apr 2026</t>
        </is>
      </c>
      <c r="B5" s="2" t="inlineStr">
        <is>
          <t>Airbnb</t>
        </is>
      </c>
      <c r="C5" s="2" t="inlineStr">
        <is>
          <t>Dalyce Sellers</t>
        </is>
      </c>
      <c r="D5" s="3" t="n">
        <v>46122</v>
      </c>
      <c r="E5" s="3" t="n">
        <v>46126</v>
      </c>
      <c r="F5" s="2" t="n">
        <v>4</v>
      </c>
      <c r="G5" s="4" t="n">
        <v>105.2</v>
      </c>
      <c r="H5" s="4" t="n"/>
      <c r="I5" s="4" t="n">
        <v>420.8</v>
      </c>
      <c r="J5" s="4" t="n">
        <v>12.62</v>
      </c>
      <c r="K5" s="4" t="n">
        <v>408.18</v>
      </c>
      <c r="L5" s="2" t="inlineStr">
        <is>
          <t>Airbnb HM4MWDKA2D | Tax remitted: $25.25</t>
        </is>
      </c>
    </row>
    <row r="6">
      <c r="A6" s="2" t="inlineStr">
        <is>
          <t>April 2026</t>
        </is>
      </c>
      <c r="B6" s="2" t="inlineStr">
        <is>
          <t>Direct (Zelle)</t>
        </is>
      </c>
      <c r="C6" s="2" t="inlineStr">
        <is>
          <t>Noah Parrish group (McMeen/Parrish/Armstrong/Stevens)</t>
        </is>
      </c>
      <c r="D6" s="3" t="inlineStr"/>
      <c r="E6" s="3" t="inlineStr"/>
      <c r="F6" s="2" t="n">
        <v>105</v>
      </c>
      <c r="G6" s="4" t="n">
        <v>0</v>
      </c>
      <c r="H6" s="4" t="n">
        <v>0</v>
      </c>
      <c r="I6" s="4" t="n">
        <v>1051.5</v>
      </c>
      <c r="J6" s="4" t="inlineStr">
        <is>
          <t>Active</t>
        </is>
      </c>
      <c r="K6" s="4" t="inlineStr">
        <is>
          <t>105-day rental. 4 tenants: Robert McMeen $262.50, Noah Parrish $263, Dylan Armstrong $263, Carson Stevens $263. Payments received 04/07/2026.</t>
        </is>
      </c>
      <c r="L6" s="2" t="n"/>
    </row>
    <row r="7">
      <c r="A7" s="2" t="n"/>
      <c r="B7" s="2" t="n"/>
      <c r="C7" s="2" t="n"/>
      <c r="D7" s="3" t="n"/>
      <c r="E7" s="3" t="n"/>
      <c r="F7" s="2" t="n"/>
      <c r="G7" s="4" t="n"/>
      <c r="H7" s="4" t="n"/>
      <c r="I7" s="4" t="n"/>
      <c r="J7" s="4" t="n"/>
      <c r="K7" s="4" t="n"/>
      <c r="L7" s="2" t="n"/>
    </row>
    <row r="8">
      <c r="A8" s="2" t="n"/>
      <c r="B8" s="2" t="n"/>
      <c r="C8" s="2" t="n"/>
      <c r="D8" s="3" t="n"/>
      <c r="E8" s="3" t="n"/>
      <c r="F8" s="2" t="n"/>
      <c r="G8" s="4" t="n"/>
      <c r="H8" s="4" t="n"/>
      <c r="I8" s="4" t="n"/>
      <c r="J8" s="4" t="n"/>
      <c r="K8" s="4" t="n"/>
      <c r="L8" s="2" t="n"/>
    </row>
    <row r="9">
      <c r="A9" s="2" t="n"/>
      <c r="B9" s="2" t="n"/>
      <c r="C9" s="2" t="n"/>
      <c r="D9" s="3" t="n"/>
      <c r="E9" s="3" t="n"/>
      <c r="F9" s="2" t="n"/>
      <c r="G9" s="4" t="n"/>
      <c r="H9" s="4" t="n"/>
      <c r="I9" s="4" t="n"/>
      <c r="J9" s="4" t="n"/>
      <c r="K9" s="4" t="n"/>
      <c r="L9" s="2" t="n"/>
    </row>
    <row r="10">
      <c r="A10" s="2" t="n"/>
      <c r="B10" s="2" t="n"/>
      <c r="C10" s="2" t="n"/>
      <c r="D10" s="3" t="n"/>
      <c r="E10" s="3" t="n"/>
      <c r="F10" s="2" t="n"/>
      <c r="G10" s="4" t="n"/>
      <c r="H10" s="4" t="n"/>
      <c r="I10" s="4" t="n"/>
      <c r="J10" s="4" t="n"/>
      <c r="K10" s="4" t="n"/>
      <c r="L10" s="2" t="n"/>
    </row>
    <row r="11">
      <c r="A11" s="2" t="n"/>
      <c r="B11" s="2" t="n"/>
      <c r="C11" s="2" t="n"/>
      <c r="D11" s="3" t="n"/>
      <c r="E11" s="3" t="n"/>
      <c r="F11" s="2" t="n"/>
      <c r="G11" s="4" t="n"/>
      <c r="H11" s="4" t="n"/>
      <c r="I11" s="4" t="n"/>
      <c r="J11" s="4" t="n"/>
      <c r="K11" s="4" t="n"/>
      <c r="L11" s="2" t="n"/>
    </row>
    <row r="12">
      <c r="A12" s="2" t="n"/>
      <c r="B12" s="2" t="n"/>
      <c r="C12" s="2" t="n"/>
      <c r="D12" s="3" t="n"/>
      <c r="E12" s="3" t="n"/>
      <c r="F12" s="2" t="n"/>
      <c r="G12" s="4" t="n"/>
      <c r="H12" s="4" t="n"/>
      <c r="I12" s="4" t="n"/>
      <c r="J12" s="4" t="n"/>
      <c r="K12" s="4" t="n"/>
      <c r="L12" s="2" t="n"/>
    </row>
    <row r="13">
      <c r="A13" s="2" t="n"/>
      <c r="B13" s="2" t="n"/>
      <c r="C13" s="2" t="n"/>
      <c r="D13" s="3" t="n"/>
      <c r="E13" s="3" t="n"/>
      <c r="F13" s="2" t="n"/>
      <c r="G13" s="4" t="n"/>
      <c r="H13" s="4" t="n"/>
      <c r="I13" s="4" t="n"/>
      <c r="J13" s="4" t="n"/>
      <c r="K13" s="4" t="n"/>
      <c r="L13" s="2" t="n"/>
    </row>
    <row r="14">
      <c r="A14" s="2" t="n"/>
      <c r="B14" s="2" t="n"/>
      <c r="C14" s="2" t="n"/>
      <c r="D14" s="3" t="n"/>
      <c r="E14" s="3" t="n"/>
      <c r="F14" s="2" t="n"/>
      <c r="G14" s="4" t="n"/>
      <c r="H14" s="4" t="n"/>
      <c r="I14" s="4" t="n"/>
      <c r="J14" s="4" t="n"/>
      <c r="K14" s="4" t="n"/>
      <c r="L14" s="2" t="n"/>
    </row>
    <row r="15">
      <c r="A15" s="2" t="n"/>
      <c r="B15" s="2" t="n"/>
      <c r="C15" s="2" t="n"/>
      <c r="D15" s="3" t="n"/>
      <c r="E15" s="3" t="n"/>
      <c r="F15" s="2" t="n"/>
      <c r="G15" s="4" t="n"/>
      <c r="H15" s="4" t="n"/>
      <c r="I15" s="4" t="n"/>
      <c r="J15" s="4" t="n"/>
      <c r="K15" s="4" t="n"/>
      <c r="L15" s="2" t="n"/>
    </row>
    <row r="16">
      <c r="A16" s="2" t="n"/>
      <c r="B16" s="2" t="n"/>
      <c r="C16" s="2" t="n"/>
      <c r="D16" s="3" t="n"/>
      <c r="E16" s="3" t="n"/>
      <c r="F16" s="2" t="n"/>
      <c r="G16" s="4" t="n"/>
      <c r="H16" s="4" t="n"/>
      <c r="I16" s="4" t="n"/>
      <c r="J16" s="4" t="n"/>
      <c r="K16" s="4" t="n"/>
      <c r="L16" s="2" t="n"/>
    </row>
    <row r="17">
      <c r="A17" s="2" t="n"/>
      <c r="B17" s="2" t="n"/>
      <c r="C17" s="2" t="n"/>
      <c r="D17" s="3" t="n"/>
      <c r="E17" s="3" t="n"/>
      <c r="F17" s="2" t="n"/>
      <c r="G17" s="4" t="n"/>
      <c r="H17" s="4" t="n"/>
      <c r="I17" s="4" t="n"/>
      <c r="J17" s="4" t="n"/>
      <c r="K17" s="4" t="n"/>
      <c r="L17" s="2" t="n"/>
    </row>
    <row r="18">
      <c r="A18" s="2" t="n"/>
      <c r="B18" s="2" t="n"/>
      <c r="C18" s="2" t="n"/>
      <c r="D18" s="3" t="n"/>
      <c r="E18" s="3" t="n"/>
      <c r="F18" s="2" t="n"/>
      <c r="G18" s="4" t="n"/>
      <c r="H18" s="4" t="n"/>
      <c r="I18" s="4" t="n"/>
      <c r="J18" s="4" t="n"/>
      <c r="K18" s="4" t="n"/>
      <c r="L18" s="2" t="n"/>
    </row>
    <row r="19">
      <c r="A19" s="2" t="n"/>
      <c r="B19" s="2" t="n"/>
      <c r="C19" s="2" t="n"/>
      <c r="D19" s="3" t="n"/>
      <c r="E19" s="3" t="n"/>
      <c r="F19" s="2" t="n"/>
      <c r="G19" s="4" t="n"/>
      <c r="H19" s="4" t="n"/>
      <c r="I19" s="4" t="n"/>
      <c r="J19" s="4" t="n"/>
      <c r="K19" s="4" t="n"/>
      <c r="L19" s="2" t="n"/>
    </row>
    <row r="20">
      <c r="A20" s="2" t="n"/>
      <c r="B20" s="2" t="n"/>
      <c r="C20" s="2" t="n"/>
      <c r="D20" s="3" t="n"/>
      <c r="E20" s="3" t="n"/>
      <c r="F20" s="2" t="n"/>
      <c r="G20" s="4" t="n"/>
      <c r="H20" s="4" t="n"/>
      <c r="I20" s="4" t="n"/>
      <c r="J20" s="4" t="n"/>
      <c r="K20" s="4" t="n"/>
      <c r="L20" s="2" t="n"/>
    </row>
    <row r="21">
      <c r="A21" s="2" t="n"/>
      <c r="B21" s="2" t="n"/>
      <c r="C21" s="2" t="n"/>
      <c r="D21" s="3" t="n"/>
      <c r="E21" s="3" t="n"/>
      <c r="F21" s="2" t="n"/>
      <c r="G21" s="4" t="n"/>
      <c r="H21" s="4" t="n"/>
      <c r="I21" s="4" t="n"/>
      <c r="J21" s="4" t="n"/>
      <c r="K21" s="4" t="n"/>
      <c r="L21" s="2" t="n"/>
    </row>
    <row r="22">
      <c r="A22" s="2" t="n"/>
      <c r="B22" s="2" t="n"/>
      <c r="C22" s="2" t="n"/>
      <c r="D22" s="3" t="n"/>
      <c r="E22" s="3" t="n"/>
      <c r="F22" s="2" t="n"/>
      <c r="G22" s="4" t="n"/>
      <c r="H22" s="4" t="n"/>
      <c r="I22" s="4" t="n"/>
      <c r="J22" s="4" t="n"/>
      <c r="K22" s="4" t="n"/>
      <c r="L22" s="2" t="n"/>
    </row>
    <row r="23">
      <c r="A23" s="2" t="n"/>
      <c r="B23" s="2" t="n"/>
      <c r="C23" s="2" t="n"/>
      <c r="D23" s="3" t="n"/>
      <c r="E23" s="3" t="n"/>
      <c r="F23" s="2" t="n"/>
      <c r="G23" s="4" t="n"/>
      <c r="H23" s="4" t="n"/>
      <c r="I23" s="4" t="n"/>
      <c r="J23" s="4" t="n"/>
      <c r="K23" s="4" t="n"/>
      <c r="L23" s="2" t="n"/>
    </row>
    <row r="24">
      <c r="A24" s="2" t="n"/>
      <c r="B24" s="2" t="n"/>
      <c r="C24" s="2" t="n"/>
      <c r="D24" s="3" t="n"/>
      <c r="E24" s="3" t="n"/>
      <c r="F24" s="2" t="n"/>
      <c r="G24" s="4" t="n"/>
      <c r="H24" s="4" t="n"/>
      <c r="I24" s="4" t="n"/>
      <c r="J24" s="4" t="n"/>
      <c r="K24" s="4" t="n"/>
      <c r="L24" s="2" t="n"/>
    </row>
    <row r="25">
      <c r="A25" s="2" t="n"/>
      <c r="B25" s="2" t="n"/>
      <c r="C25" s="2" t="n"/>
      <c r="D25" s="3" t="n"/>
      <c r="E25" s="3" t="n"/>
      <c r="F25" s="2" t="n"/>
      <c r="G25" s="4" t="n"/>
      <c r="H25" s="4" t="n"/>
      <c r="I25" s="4" t="n"/>
      <c r="J25" s="4" t="n"/>
      <c r="K25" s="4" t="n"/>
      <c r="L25" s="2" t="n"/>
    </row>
    <row r="26">
      <c r="A26" s="2" t="n"/>
      <c r="B26" s="2" t="n"/>
      <c r="C26" s="2" t="n"/>
      <c r="D26" s="3" t="n"/>
      <c r="E26" s="3" t="n"/>
      <c r="F26" s="2" t="n"/>
      <c r="G26" s="4" t="n"/>
      <c r="H26" s="4" t="n"/>
      <c r="I26" s="4" t="n"/>
      <c r="J26" s="4" t="n"/>
      <c r="K26" s="4" t="n"/>
      <c r="L26" s="2" t="n"/>
    </row>
    <row r="27">
      <c r="A27" s="2" t="n"/>
      <c r="B27" s="2" t="n"/>
      <c r="C27" s="2" t="n"/>
      <c r="D27" s="3" t="n"/>
      <c r="E27" s="3" t="n"/>
      <c r="F27" s="2" t="n"/>
      <c r="G27" s="4" t="n"/>
      <c r="H27" s="4" t="n"/>
      <c r="I27" s="4" t="n"/>
      <c r="J27" s="4" t="n"/>
      <c r="K27" s="4" t="n"/>
      <c r="L27" s="2" t="n"/>
    </row>
    <row r="28">
      <c r="A28" s="2" t="n"/>
      <c r="B28" s="2" t="n"/>
      <c r="C28" s="2" t="n"/>
      <c r="D28" s="3" t="n"/>
      <c r="E28" s="3" t="n"/>
      <c r="F28" s="2" t="n"/>
      <c r="G28" s="4" t="n"/>
      <c r="H28" s="4" t="n"/>
      <c r="I28" s="4" t="n"/>
      <c r="J28" s="4" t="n"/>
      <c r="K28" s="4" t="n"/>
      <c r="L28" s="2" t="n"/>
    </row>
    <row r="29">
      <c r="A29" s="2" t="n"/>
      <c r="B29" s="2" t="n"/>
      <c r="C29" s="2" t="n"/>
      <c r="D29" s="3" t="n"/>
      <c r="E29" s="3" t="n"/>
      <c r="F29" s="2" t="n"/>
      <c r="G29" s="4" t="n"/>
      <c r="H29" s="4" t="n"/>
      <c r="I29" s="4" t="n"/>
      <c r="J29" s="4" t="n"/>
      <c r="K29" s="4" t="n"/>
      <c r="L29" s="2" t="n"/>
    </row>
    <row r="30">
      <c r="A30" s="2" t="n"/>
      <c r="B30" s="2" t="n"/>
      <c r="C30" s="2" t="n"/>
      <c r="D30" s="3" t="n"/>
      <c r="E30" s="3" t="n"/>
      <c r="F30" s="2" t="n"/>
      <c r="G30" s="4" t="n"/>
      <c r="H30" s="4" t="n"/>
      <c r="I30" s="4" t="n"/>
      <c r="J30" s="4" t="n"/>
      <c r="K30" s="4" t="n"/>
      <c r="L30" s="2" t="n"/>
    </row>
    <row r="31">
      <c r="A31" s="2" t="n"/>
      <c r="B31" s="2" t="n"/>
      <c r="C31" s="2" t="n"/>
      <c r="D31" s="3" t="n"/>
      <c r="E31" s="3" t="n"/>
      <c r="F31" s="2" t="n"/>
      <c r="G31" s="4" t="n"/>
      <c r="H31" s="4" t="n"/>
      <c r="I31" s="4" t="n"/>
      <c r="J31" s="4" t="n"/>
      <c r="K31" s="4" t="n"/>
      <c r="L31" s="2" t="n"/>
    </row>
    <row r="32">
      <c r="A32" s="2" t="n"/>
      <c r="B32" s="2" t="n"/>
      <c r="C32" s="2" t="n"/>
      <c r="D32" s="3" t="n"/>
      <c r="E32" s="3" t="n"/>
      <c r="F32" s="2" t="n"/>
      <c r="G32" s="4" t="n"/>
      <c r="H32" s="4" t="n"/>
      <c r="I32" s="4" t="n"/>
      <c r="J32" s="4" t="n"/>
      <c r="K32" s="4" t="n"/>
      <c r="L32" s="2" t="n"/>
    </row>
    <row r="33">
      <c r="A33" s="2" t="n"/>
      <c r="B33" s="2" t="n"/>
      <c r="C33" s="2" t="n"/>
      <c r="D33" s="3" t="n"/>
      <c r="E33" s="3" t="n"/>
      <c r="F33" s="2" t="n"/>
      <c r="G33" s="4" t="n"/>
      <c r="H33" s="4" t="n"/>
      <c r="I33" s="4" t="n"/>
      <c r="J33" s="4" t="n"/>
      <c r="K33" s="4" t="n"/>
      <c r="L33" s="2" t="n"/>
    </row>
    <row r="34">
      <c r="A34" s="2" t="n"/>
      <c r="B34" s="2" t="n"/>
      <c r="C34" s="2" t="n"/>
      <c r="D34" s="3" t="n"/>
      <c r="E34" s="3" t="n"/>
      <c r="F34" s="2" t="n"/>
      <c r="G34" s="4" t="n"/>
      <c r="H34" s="4" t="n"/>
      <c r="I34" s="4" t="n"/>
      <c r="J34" s="4" t="n"/>
      <c r="K34" s="4" t="n"/>
      <c r="L34" s="2" t="n"/>
    </row>
    <row r="35">
      <c r="A35" s="2" t="n"/>
      <c r="B35" s="2" t="n"/>
      <c r="C35" s="2" t="n"/>
      <c r="D35" s="3" t="n"/>
      <c r="E35" s="3" t="n"/>
      <c r="F35" s="2" t="n"/>
      <c r="G35" s="4" t="n"/>
      <c r="H35" s="4" t="n"/>
      <c r="I35" s="4" t="n"/>
      <c r="J35" s="4" t="n"/>
      <c r="K35" s="4" t="n"/>
      <c r="L35" s="2" t="n"/>
    </row>
    <row r="36">
      <c r="A36" s="2" t="n"/>
      <c r="B36" s="2" t="n"/>
      <c r="C36" s="2" t="n"/>
      <c r="D36" s="3" t="n"/>
      <c r="E36" s="3" t="n"/>
      <c r="F36" s="2" t="n"/>
      <c r="G36" s="4" t="n"/>
      <c r="H36" s="4" t="n"/>
      <c r="I36" s="4" t="n"/>
      <c r="J36" s="4" t="n"/>
      <c r="K36" s="4" t="n"/>
      <c r="L36" s="2" t="n"/>
    </row>
    <row r="37">
      <c r="A37" s="2" t="n"/>
      <c r="B37" s="2" t="n"/>
      <c r="C37" s="2" t="n"/>
      <c r="D37" s="3" t="n"/>
      <c r="E37" s="3" t="n"/>
      <c r="F37" s="2" t="n"/>
      <c r="G37" s="4" t="n"/>
      <c r="H37" s="4" t="n"/>
      <c r="I37" s="4" t="n"/>
      <c r="J37" s="4" t="n"/>
      <c r="K37" s="4" t="n"/>
      <c r="L37" s="2" t="n"/>
    </row>
    <row r="38">
      <c r="A38" s="2" t="n"/>
      <c r="B38" s="2" t="n"/>
      <c r="C38" s="2" t="n"/>
      <c r="D38" s="3" t="n"/>
      <c r="E38" s="3" t="n"/>
      <c r="F38" s="2" t="n"/>
      <c r="G38" s="4" t="n"/>
      <c r="H38" s="4" t="n"/>
      <c r="I38" s="4" t="n"/>
      <c r="J38" s="4" t="n"/>
      <c r="K38" s="4" t="n"/>
      <c r="L38" s="2" t="n"/>
    </row>
    <row r="39">
      <c r="A39" s="2" t="n"/>
      <c r="B39" s="2" t="n"/>
      <c r="C39" s="2" t="n"/>
      <c r="D39" s="3" t="n"/>
      <c r="E39" s="3" t="n"/>
      <c r="F39" s="2" t="n"/>
      <c r="G39" s="4" t="n"/>
      <c r="H39" s="4" t="n"/>
      <c r="I39" s="4" t="n"/>
      <c r="J39" s="4" t="n"/>
      <c r="K39" s="4" t="n"/>
      <c r="L39" s="2" t="n"/>
    </row>
    <row r="40">
      <c r="A40" s="2" t="n"/>
      <c r="B40" s="2" t="n"/>
      <c r="C40" s="2" t="n"/>
      <c r="D40" s="3" t="n"/>
      <c r="E40" s="3" t="n"/>
      <c r="F40" s="2" t="n"/>
      <c r="G40" s="4" t="n"/>
      <c r="H40" s="4" t="n"/>
      <c r="I40" s="4" t="n"/>
      <c r="J40" s="4" t="n"/>
      <c r="K40" s="4" t="n"/>
      <c r="L40" s="2" t="n"/>
    </row>
    <row r="41">
      <c r="A41" s="2" t="n"/>
      <c r="B41" s="2" t="n"/>
      <c r="C41" s="2" t="n"/>
      <c r="D41" s="3" t="n"/>
      <c r="E41" s="3" t="n"/>
      <c r="F41" s="2" t="n"/>
      <c r="G41" s="4" t="n"/>
      <c r="H41" s="4" t="n"/>
      <c r="I41" s="4" t="n"/>
      <c r="J41" s="4" t="n"/>
      <c r="K41" s="4" t="n"/>
      <c r="L41" s="2" t="n"/>
    </row>
    <row r="42">
      <c r="A42" s="2" t="n"/>
      <c r="B42" s="2" t="n"/>
      <c r="C42" s="2" t="n"/>
      <c r="D42" s="3" t="n"/>
      <c r="E42" s="3" t="n"/>
      <c r="F42" s="2" t="n"/>
      <c r="G42" s="4" t="n"/>
      <c r="H42" s="4" t="n"/>
      <c r="I42" s="4" t="n"/>
      <c r="J42" s="4" t="n"/>
      <c r="K42" s="4" t="n"/>
      <c r="L42" s="2" t="n"/>
    </row>
    <row r="43">
      <c r="A43" s="2" t="n"/>
      <c r="B43" s="2" t="n"/>
      <c r="C43" s="2" t="n"/>
      <c r="D43" s="3" t="n"/>
      <c r="E43" s="3" t="n"/>
      <c r="F43" s="2" t="n"/>
      <c r="G43" s="4" t="n"/>
      <c r="H43" s="4" t="n"/>
      <c r="I43" s="4" t="n"/>
      <c r="J43" s="4" t="n"/>
      <c r="K43" s="4" t="n"/>
      <c r="L43" s="2" t="n"/>
    </row>
    <row r="44">
      <c r="A44" s="2" t="n"/>
      <c r="B44" s="2" t="n"/>
      <c r="C44" s="2" t="n"/>
      <c r="D44" s="3" t="n"/>
      <c r="E44" s="3" t="n"/>
      <c r="F44" s="2" t="n"/>
      <c r="G44" s="4" t="n"/>
      <c r="H44" s="4" t="n"/>
      <c r="I44" s="4" t="n"/>
      <c r="J44" s="4" t="n"/>
      <c r="K44" s="4" t="n"/>
      <c r="L44" s="2" t="n"/>
    </row>
    <row r="45">
      <c r="A45" s="2" t="n"/>
      <c r="B45" s="2" t="n"/>
      <c r="C45" s="2" t="n"/>
      <c r="D45" s="3" t="n"/>
      <c r="E45" s="3" t="n"/>
      <c r="F45" s="2" t="n"/>
      <c r="G45" s="4" t="n"/>
      <c r="H45" s="4" t="n"/>
      <c r="I45" s="4" t="n"/>
      <c r="J45" s="4" t="n"/>
      <c r="K45" s="4" t="n"/>
      <c r="L45" s="2" t="n"/>
    </row>
    <row r="46">
      <c r="A46" s="2" t="n"/>
      <c r="B46" s="2" t="n"/>
      <c r="C46" s="2" t="n"/>
      <c r="D46" s="3" t="n"/>
      <c r="E46" s="3" t="n"/>
      <c r="F46" s="2" t="n"/>
      <c r="G46" s="4" t="n"/>
      <c r="H46" s="4" t="n"/>
      <c r="I46" s="4" t="n"/>
      <c r="J46" s="4" t="n"/>
      <c r="K46" s="4" t="n"/>
      <c r="L46" s="2" t="n"/>
    </row>
    <row r="47">
      <c r="A47" s="2" t="n"/>
      <c r="B47" s="2" t="n"/>
      <c r="C47" s="2" t="n"/>
      <c r="D47" s="3" t="n"/>
      <c r="E47" s="3" t="n"/>
      <c r="F47" s="2" t="n"/>
      <c r="G47" s="4" t="n"/>
      <c r="H47" s="4" t="n"/>
      <c r="I47" s="4" t="n"/>
      <c r="J47" s="4" t="n"/>
      <c r="K47" s="4" t="n"/>
      <c r="L47" s="2" t="n"/>
    </row>
    <row r="48">
      <c r="A48" s="2" t="n"/>
      <c r="B48" s="2" t="n"/>
      <c r="C48" s="2" t="n"/>
      <c r="D48" s="3" t="n"/>
      <c r="E48" s="3" t="n"/>
      <c r="F48" s="2" t="n"/>
      <c r="G48" s="4" t="n"/>
      <c r="H48" s="4" t="n"/>
      <c r="I48" s="4" t="n"/>
      <c r="J48" s="4" t="n"/>
      <c r="K48" s="4" t="n"/>
      <c r="L48" s="2" t="n"/>
    </row>
    <row r="49">
      <c r="A49" s="2" t="n"/>
      <c r="B49" s="2" t="n"/>
      <c r="C49" s="2" t="n"/>
      <c r="D49" s="3" t="n"/>
      <c r="E49" s="3" t="n"/>
      <c r="F49" s="2" t="n"/>
      <c r="G49" s="4" t="n"/>
      <c r="H49" s="4" t="n"/>
      <c r="I49" s="4" t="n"/>
      <c r="J49" s="4" t="n"/>
      <c r="K49" s="4" t="n"/>
      <c r="L49" s="2" t="n"/>
    </row>
    <row r="50">
      <c r="A50" s="2" t="n"/>
      <c r="B50" s="2" t="n"/>
      <c r="C50" s="2" t="n"/>
      <c r="D50" s="3" t="n"/>
      <c r="E50" s="3" t="n"/>
      <c r="F50" s="2" t="n"/>
      <c r="G50" s="4" t="n"/>
      <c r="H50" s="4" t="n"/>
      <c r="I50" s="4" t="n"/>
      <c r="J50" s="4" t="n"/>
      <c r="K50" s="4" t="n"/>
      <c r="L50" s="2" t="n"/>
    </row>
    <row r="51">
      <c r="A51" s="2" t="n"/>
      <c r="B51" s="2" t="n"/>
      <c r="C51" s="2" t="n"/>
      <c r="D51" s="3" t="n"/>
      <c r="E51" s="3" t="n"/>
      <c r="F51" s="2" t="n"/>
      <c r="G51" s="4" t="n"/>
      <c r="H51" s="4" t="n"/>
      <c r="I51" s="4" t="n"/>
      <c r="J51" s="4" t="n"/>
      <c r="K51" s="4" t="n"/>
      <c r="L51" s="2" t="n"/>
    </row>
    <row r="52">
      <c r="A52" s="2" t="n"/>
      <c r="B52" s="2" t="n"/>
      <c r="C52" s="2" t="n"/>
      <c r="D52" s="3" t="n"/>
      <c r="E52" s="3" t="n"/>
      <c r="F52" s="2" t="n"/>
      <c r="G52" s="4" t="n"/>
      <c r="H52" s="4" t="n"/>
      <c r="I52" s="4" t="n"/>
      <c r="J52" s="4" t="n"/>
      <c r="K52" s="4" t="n"/>
      <c r="L52" s="2" t="n"/>
    </row>
    <row r="53">
      <c r="A53" s="2" t="n"/>
      <c r="B53" s="2" t="n"/>
      <c r="C53" s="2" t="n"/>
      <c r="D53" s="3" t="n"/>
      <c r="E53" s="3" t="n"/>
      <c r="F53" s="2" t="n"/>
      <c r="G53" s="4" t="n"/>
      <c r="H53" s="4" t="n"/>
      <c r="I53" s="4" t="n"/>
      <c r="J53" s="4" t="n"/>
      <c r="K53" s="4" t="n"/>
      <c r="L53" s="2" t="n"/>
    </row>
    <row r="54">
      <c r="A54" s="2" t="n"/>
      <c r="B54" s="2" t="n"/>
      <c r="C54" s="2" t="n"/>
      <c r="D54" s="3" t="n"/>
      <c r="E54" s="3" t="n"/>
      <c r="F54" s="2" t="n"/>
      <c r="G54" s="4" t="n"/>
      <c r="H54" s="4" t="n"/>
      <c r="I54" s="4" t="n"/>
      <c r="J54" s="4" t="n"/>
      <c r="K54" s="4" t="n"/>
      <c r="L54" s="2" t="n"/>
    </row>
    <row r="55">
      <c r="A55" s="2" t="n"/>
      <c r="B55" s="2" t="n"/>
      <c r="C55" s="2" t="n"/>
      <c r="D55" s="3" t="n"/>
      <c r="E55" s="3" t="n"/>
      <c r="F55" s="2" t="n"/>
      <c r="G55" s="4" t="n"/>
      <c r="H55" s="4" t="n"/>
      <c r="I55" s="4" t="n"/>
      <c r="J55" s="4" t="n"/>
      <c r="K55" s="4" t="n"/>
      <c r="L55" s="2" t="n"/>
    </row>
    <row r="56">
      <c r="A56" s="2" t="n"/>
      <c r="B56" s="2" t="n"/>
      <c r="C56" s="2" t="n"/>
      <c r="D56" s="3" t="n"/>
      <c r="E56" s="3" t="n"/>
      <c r="F56" s="2" t="n"/>
      <c r="G56" s="4" t="n"/>
      <c r="H56" s="4" t="n"/>
      <c r="I56" s="4" t="n"/>
      <c r="J56" s="4" t="n"/>
      <c r="K56" s="4" t="n"/>
      <c r="L56" s="2" t="n"/>
    </row>
    <row r="57">
      <c r="A57" s="2" t="n"/>
      <c r="B57" s="2" t="n"/>
      <c r="C57" s="2" t="n"/>
      <c r="D57" s="3" t="n"/>
      <c r="E57" s="3" t="n"/>
      <c r="F57" s="2" t="n"/>
      <c r="G57" s="4" t="n"/>
      <c r="H57" s="4" t="n"/>
      <c r="I57" s="4" t="n"/>
      <c r="J57" s="4" t="n"/>
      <c r="K57" s="4" t="n"/>
      <c r="L57" s="2" t="n"/>
    </row>
    <row r="58">
      <c r="A58" s="2" t="n"/>
      <c r="B58" s="2" t="n"/>
      <c r="C58" s="2" t="n"/>
      <c r="D58" s="3" t="n"/>
      <c r="E58" s="3" t="n"/>
      <c r="F58" s="2" t="n"/>
      <c r="G58" s="4" t="n"/>
      <c r="H58" s="4" t="n"/>
      <c r="I58" s="4" t="n"/>
      <c r="J58" s="4" t="n"/>
      <c r="K58" s="4" t="n"/>
      <c r="L58" s="2" t="n"/>
    </row>
    <row r="59">
      <c r="A59" s="2" t="n"/>
      <c r="B59" s="2" t="n"/>
      <c r="C59" s="2" t="n"/>
      <c r="D59" s="3" t="n"/>
      <c r="E59" s="3" t="n"/>
      <c r="F59" s="2" t="n"/>
      <c r="G59" s="4" t="n"/>
      <c r="H59" s="4" t="n"/>
      <c r="I59" s="4" t="n"/>
      <c r="J59" s="4" t="n"/>
      <c r="K59" s="4" t="n"/>
      <c r="L59" s="2" t="n"/>
    </row>
    <row r="60">
      <c r="A60" s="2" t="n"/>
      <c r="B60" s="2" t="n"/>
      <c r="C60" s="2" t="n"/>
      <c r="D60" s="3" t="n"/>
      <c r="E60" s="3" t="n"/>
      <c r="F60" s="2" t="n"/>
      <c r="G60" s="4" t="n"/>
      <c r="H60" s="4" t="n"/>
      <c r="I60" s="4" t="n"/>
      <c r="J60" s="4" t="n"/>
      <c r="K60" s="4" t="n"/>
      <c r="L60" s="2" t="n"/>
    </row>
    <row r="61">
      <c r="A61" s="2" t="n"/>
      <c r="B61" s="2" t="n"/>
      <c r="C61" s="2" t="n"/>
      <c r="D61" s="3" t="n"/>
      <c r="E61" s="3" t="n"/>
      <c r="F61" s="2" t="n"/>
      <c r="G61" s="4" t="n"/>
      <c r="H61" s="4" t="n"/>
      <c r="I61" s="4" t="n"/>
      <c r="J61" s="4" t="n"/>
      <c r="K61" s="4" t="n"/>
      <c r="L61" s="2" t="n"/>
    </row>
    <row r="62">
      <c r="A62" s="2" t="n"/>
      <c r="B62" s="2" t="n"/>
      <c r="C62" s="2" t="n"/>
      <c r="D62" s="3" t="n"/>
      <c r="E62" s="3" t="n"/>
      <c r="F62" s="2" t="n"/>
      <c r="G62" s="4" t="n"/>
      <c r="H62" s="4" t="n"/>
      <c r="I62" s="4" t="n"/>
      <c r="J62" s="4" t="n"/>
      <c r="K62" s="4" t="n"/>
      <c r="L62" s="2" t="n"/>
    </row>
    <row r="63">
      <c r="A63" s="2" t="n"/>
      <c r="B63" s="2" t="n"/>
      <c r="C63" s="2" t="n"/>
      <c r="D63" s="3" t="n"/>
      <c r="E63" s="3" t="n"/>
      <c r="F63" s="2" t="n"/>
      <c r="G63" s="4" t="n"/>
      <c r="H63" s="4" t="n"/>
      <c r="I63" s="4" t="n"/>
      <c r="J63" s="4" t="n"/>
      <c r="K63" s="4" t="n"/>
      <c r="L63" s="2" t="n"/>
    </row>
    <row r="64">
      <c r="A64" s="2" t="n"/>
      <c r="B64" s="2" t="n"/>
      <c r="C64" s="2" t="n"/>
      <c r="D64" s="3" t="n"/>
      <c r="E64" s="3" t="n"/>
      <c r="F64" s="2" t="n"/>
      <c r="G64" s="4" t="n"/>
      <c r="H64" s="4" t="n"/>
      <c r="I64" s="4" t="n"/>
      <c r="J64" s="4" t="n"/>
      <c r="K64" s="4" t="n"/>
      <c r="L64" s="2" t="n"/>
    </row>
    <row r="65">
      <c r="A65" s="2" t="n"/>
      <c r="B65" s="2" t="n"/>
      <c r="C65" s="2" t="n"/>
      <c r="D65" s="3" t="n"/>
      <c r="E65" s="3" t="n"/>
      <c r="F65" s="2" t="n"/>
      <c r="G65" s="4" t="n"/>
      <c r="H65" s="4" t="n"/>
      <c r="I65" s="4" t="n"/>
      <c r="J65" s="4" t="n"/>
      <c r="K65" s="4" t="n"/>
      <c r="L65" s="2" t="n"/>
    </row>
    <row r="66">
      <c r="A66" s="2" t="n"/>
      <c r="B66" s="2" t="n"/>
      <c r="C66" s="2" t="n"/>
      <c r="D66" s="3" t="n"/>
      <c r="E66" s="3" t="n"/>
      <c r="F66" s="2" t="n"/>
      <c r="G66" s="4" t="n"/>
      <c r="H66" s="4" t="n"/>
      <c r="I66" s="4" t="n"/>
      <c r="J66" s="4" t="n"/>
      <c r="K66" s="4" t="n"/>
      <c r="L66" s="2" t="n"/>
    </row>
    <row r="67">
      <c r="A67" s="2" t="n"/>
      <c r="B67" s="2" t="n"/>
      <c r="C67" s="2" t="n"/>
      <c r="D67" s="3" t="n"/>
      <c r="E67" s="3" t="n"/>
      <c r="F67" s="2" t="n"/>
      <c r="G67" s="4" t="n"/>
      <c r="H67" s="4" t="n"/>
      <c r="I67" s="4" t="n"/>
      <c r="J67" s="4" t="n"/>
      <c r="K67" s="4" t="n"/>
      <c r="L67" s="2" t="n"/>
    </row>
    <row r="68">
      <c r="A68" s="2" t="n"/>
      <c r="B68" s="2" t="n"/>
      <c r="C68" s="2" t="n"/>
      <c r="D68" s="3" t="n"/>
      <c r="E68" s="3" t="n"/>
      <c r="F68" s="2" t="n"/>
      <c r="G68" s="4" t="n"/>
      <c r="H68" s="4" t="n"/>
      <c r="I68" s="4" t="n"/>
      <c r="J68" s="4" t="n"/>
      <c r="K68" s="4" t="n"/>
      <c r="L68" s="2" t="n"/>
    </row>
    <row r="69">
      <c r="A69" s="2" t="n"/>
      <c r="B69" s="2" t="n"/>
      <c r="C69" s="2" t="n"/>
      <c r="D69" s="3" t="n"/>
      <c r="E69" s="3" t="n"/>
      <c r="F69" s="2" t="n"/>
      <c r="G69" s="4" t="n"/>
      <c r="H69" s="4" t="n"/>
      <c r="I69" s="4" t="n"/>
      <c r="J69" s="4" t="n"/>
      <c r="K69" s="4" t="n"/>
      <c r="L69" s="2" t="n"/>
    </row>
    <row r="70">
      <c r="A70" s="2" t="n"/>
      <c r="B70" s="2" t="n"/>
      <c r="C70" s="2" t="n"/>
      <c r="D70" s="3" t="n"/>
      <c r="E70" s="3" t="n"/>
      <c r="F70" s="2" t="n"/>
      <c r="G70" s="4" t="n"/>
      <c r="H70" s="4" t="n"/>
      <c r="I70" s="4" t="n"/>
      <c r="J70" s="4" t="n"/>
      <c r="K70" s="4" t="n"/>
      <c r="L70" s="2" t="n"/>
    </row>
    <row r="71">
      <c r="A71" s="2" t="n"/>
      <c r="B71" s="2" t="n"/>
      <c r="C71" s="2" t="n"/>
      <c r="D71" s="3" t="n"/>
      <c r="E71" s="3" t="n"/>
      <c r="F71" s="2" t="n"/>
      <c r="G71" s="4" t="n"/>
      <c r="H71" s="4" t="n"/>
      <c r="I71" s="4" t="n"/>
      <c r="J71" s="4" t="n"/>
      <c r="K71" s="4" t="n"/>
      <c r="L71" s="2" t="n"/>
    </row>
    <row r="72">
      <c r="A72" s="2" t="n"/>
      <c r="B72" s="2" t="n"/>
      <c r="C72" s="2" t="n"/>
      <c r="D72" s="3" t="n"/>
      <c r="E72" s="3" t="n"/>
      <c r="F72" s="2" t="n"/>
      <c r="G72" s="4" t="n"/>
      <c r="H72" s="4" t="n"/>
      <c r="I72" s="4" t="n"/>
      <c r="J72" s="4" t="n"/>
      <c r="K72" s="4" t="n"/>
      <c r="L72" s="2" t="n"/>
    </row>
    <row r="73">
      <c r="A73" s="2" t="n"/>
      <c r="B73" s="2" t="n"/>
      <c r="C73" s="2" t="n"/>
      <c r="D73" s="3" t="n"/>
      <c r="E73" s="3" t="n"/>
      <c r="F73" s="2" t="n"/>
      <c r="G73" s="4" t="n"/>
      <c r="H73" s="4" t="n"/>
      <c r="I73" s="4" t="n"/>
      <c r="J73" s="4" t="n"/>
      <c r="K73" s="4" t="n"/>
      <c r="L73" s="2" t="n"/>
    </row>
    <row r="74">
      <c r="A74" s="2" t="n"/>
      <c r="B74" s="2" t="n"/>
      <c r="C74" s="2" t="n"/>
      <c r="D74" s="3" t="n"/>
      <c r="E74" s="3" t="n"/>
      <c r="F74" s="2" t="n"/>
      <c r="G74" s="4" t="n"/>
      <c r="H74" s="4" t="n"/>
      <c r="I74" s="4" t="n"/>
      <c r="J74" s="4" t="n"/>
      <c r="K74" s="4" t="n"/>
      <c r="L74" s="2" t="n"/>
    </row>
    <row r="75">
      <c r="A75" s="2" t="n"/>
      <c r="B75" s="2" t="n"/>
      <c r="C75" s="2" t="n"/>
      <c r="D75" s="3" t="n"/>
      <c r="E75" s="3" t="n"/>
      <c r="F75" s="2" t="n"/>
      <c r="G75" s="4" t="n"/>
      <c r="H75" s="4" t="n"/>
      <c r="I75" s="4" t="n"/>
      <c r="J75" s="4" t="n"/>
      <c r="K75" s="4" t="n"/>
      <c r="L75" s="2" t="n"/>
    </row>
    <row r="76">
      <c r="A76" s="2" t="n"/>
      <c r="B76" s="2" t="n"/>
      <c r="C76" s="2" t="n"/>
      <c r="D76" s="3" t="n"/>
      <c r="E76" s="3" t="n"/>
      <c r="F76" s="2" t="n"/>
      <c r="G76" s="4" t="n"/>
      <c r="H76" s="4" t="n"/>
      <c r="I76" s="4" t="n"/>
      <c r="J76" s="4" t="n"/>
      <c r="K76" s="4" t="n"/>
      <c r="L76" s="2" t="n"/>
    </row>
    <row r="77">
      <c r="A77" s="2" t="n"/>
      <c r="B77" s="2" t="n"/>
      <c r="C77" s="2" t="n"/>
      <c r="D77" s="3" t="n"/>
      <c r="E77" s="3" t="n"/>
      <c r="F77" s="2" t="n"/>
      <c r="G77" s="4" t="n"/>
      <c r="H77" s="4" t="n"/>
      <c r="I77" s="4" t="n"/>
      <c r="J77" s="4" t="n"/>
      <c r="K77" s="4" t="n"/>
      <c r="L77" s="2" t="n"/>
    </row>
    <row r="78">
      <c r="A78" s="2" t="n"/>
      <c r="B78" s="2" t="n"/>
      <c r="C78" s="2" t="n"/>
      <c r="D78" s="3" t="n"/>
      <c r="E78" s="3" t="n"/>
      <c r="F78" s="2" t="n"/>
      <c r="G78" s="4" t="n"/>
      <c r="H78" s="4" t="n"/>
      <c r="I78" s="4" t="n"/>
      <c r="J78" s="4" t="n"/>
      <c r="K78" s="4" t="n"/>
      <c r="L78" s="2" t="n"/>
    </row>
    <row r="79">
      <c r="A79" s="2" t="n"/>
      <c r="B79" s="2" t="n"/>
      <c r="C79" s="2" t="n"/>
      <c r="D79" s="3" t="n"/>
      <c r="E79" s="3" t="n"/>
      <c r="F79" s="2" t="n"/>
      <c r="G79" s="4" t="n"/>
      <c r="H79" s="4" t="n"/>
      <c r="I79" s="4" t="n"/>
      <c r="J79" s="4" t="n"/>
      <c r="K79" s="4" t="n"/>
      <c r="L79" s="2" t="n"/>
    </row>
    <row r="80">
      <c r="A80" s="2" t="n"/>
      <c r="B80" s="2" t="n"/>
      <c r="C80" s="2" t="n"/>
      <c r="D80" s="3" t="n"/>
      <c r="E80" s="3" t="n"/>
      <c r="F80" s="2" t="n"/>
      <c r="G80" s="4" t="n"/>
      <c r="H80" s="4" t="n"/>
      <c r="I80" s="4" t="n"/>
      <c r="J80" s="4" t="n"/>
      <c r="K80" s="4" t="n"/>
      <c r="L80" s="2" t="n"/>
    </row>
    <row r="81">
      <c r="A81" s="2" t="n"/>
      <c r="B81" s="2" t="n"/>
      <c r="C81" s="2" t="n"/>
      <c r="D81" s="3" t="n"/>
      <c r="E81" s="3" t="n"/>
      <c r="F81" s="2" t="n"/>
      <c r="G81" s="4" t="n"/>
      <c r="H81" s="4" t="n"/>
      <c r="I81" s="4" t="n"/>
      <c r="J81" s="4" t="n"/>
      <c r="K81" s="4" t="n"/>
      <c r="L81" s="2" t="n"/>
    </row>
    <row r="82">
      <c r="A82" s="2" t="n"/>
      <c r="B82" s="2" t="n"/>
      <c r="C82" s="2" t="n"/>
      <c r="D82" s="3" t="n"/>
      <c r="E82" s="3" t="n"/>
      <c r="F82" s="2" t="n"/>
      <c r="G82" s="4" t="n"/>
      <c r="H82" s="4" t="n"/>
      <c r="I82" s="4" t="n"/>
      <c r="J82" s="4" t="n"/>
      <c r="K82" s="4" t="n"/>
      <c r="L82" s="2" t="n"/>
    </row>
    <row r="83">
      <c r="A83" s="2" t="n"/>
      <c r="B83" s="2" t="n"/>
      <c r="C83" s="2" t="n"/>
      <c r="D83" s="3" t="n"/>
      <c r="E83" s="3" t="n"/>
      <c r="F83" s="2" t="n"/>
      <c r="G83" s="4" t="n"/>
      <c r="H83" s="4" t="n"/>
      <c r="I83" s="4" t="n"/>
      <c r="J83" s="4" t="n"/>
      <c r="K83" s="4" t="n"/>
      <c r="L83" s="2" t="n"/>
    </row>
    <row r="84">
      <c r="A84" s="2" t="n"/>
      <c r="B84" s="2" t="n"/>
      <c r="C84" s="2" t="n"/>
      <c r="D84" s="3" t="n"/>
      <c r="E84" s="3" t="n"/>
      <c r="F84" s="2" t="n"/>
      <c r="G84" s="4" t="n"/>
      <c r="H84" s="4" t="n"/>
      <c r="I84" s="4" t="n"/>
      <c r="J84" s="4" t="n"/>
      <c r="K84" s="4" t="n"/>
      <c r="L84" s="2" t="n"/>
    </row>
    <row r="85">
      <c r="A85" s="2" t="n"/>
      <c r="B85" s="2" t="n"/>
      <c r="C85" s="2" t="n"/>
      <c r="D85" s="3" t="n"/>
      <c r="E85" s="3" t="n"/>
      <c r="F85" s="2" t="n"/>
      <c r="G85" s="4" t="n"/>
      <c r="H85" s="4" t="n"/>
      <c r="I85" s="4" t="n"/>
      <c r="J85" s="4" t="n"/>
      <c r="K85" s="4" t="n"/>
      <c r="L85" s="2" t="n"/>
    </row>
    <row r="86">
      <c r="A86" s="2" t="n"/>
      <c r="B86" s="2" t="n"/>
      <c r="C86" s="2" t="n"/>
      <c r="D86" s="3" t="n"/>
      <c r="E86" s="3" t="n"/>
      <c r="F86" s="2" t="n"/>
      <c r="G86" s="4" t="n"/>
      <c r="H86" s="4" t="n"/>
      <c r="I86" s="4" t="n"/>
      <c r="J86" s="4" t="n"/>
      <c r="K86" s="4" t="n"/>
      <c r="L86" s="2" t="n"/>
    </row>
    <row r="87">
      <c r="A87" s="2" t="n"/>
      <c r="B87" s="2" t="n"/>
      <c r="C87" s="2" t="n"/>
      <c r="D87" s="3" t="n"/>
      <c r="E87" s="3" t="n"/>
      <c r="F87" s="2" t="n"/>
      <c r="G87" s="4" t="n"/>
      <c r="H87" s="4" t="n"/>
      <c r="I87" s="4" t="n"/>
      <c r="J87" s="4" t="n"/>
      <c r="K87" s="4" t="n"/>
      <c r="L87" s="2" t="n"/>
    </row>
    <row r="88">
      <c r="A88" s="2" t="n"/>
      <c r="B88" s="2" t="n"/>
      <c r="C88" s="2" t="n"/>
      <c r="D88" s="3" t="n"/>
      <c r="E88" s="3" t="n"/>
      <c r="F88" s="2" t="n"/>
      <c r="G88" s="4" t="n"/>
      <c r="H88" s="4" t="n"/>
      <c r="I88" s="4" t="n"/>
      <c r="J88" s="4" t="n"/>
      <c r="K88" s="4" t="n"/>
      <c r="L88" s="2" t="n"/>
    </row>
    <row r="89">
      <c r="A89" s="2" t="n"/>
      <c r="B89" s="2" t="n"/>
      <c r="C89" s="2" t="n"/>
      <c r="D89" s="3" t="n"/>
      <c r="E89" s="3" t="n"/>
      <c r="F89" s="2" t="n"/>
      <c r="G89" s="4" t="n"/>
      <c r="H89" s="4" t="n"/>
      <c r="I89" s="4" t="n"/>
      <c r="J89" s="4" t="n"/>
      <c r="K89" s="4" t="n"/>
      <c r="L89" s="2" t="n"/>
    </row>
    <row r="90">
      <c r="A90" s="2" t="n"/>
      <c r="B90" s="2" t="n"/>
      <c r="C90" s="2" t="n"/>
      <c r="D90" s="3" t="n"/>
      <c r="E90" s="3" t="n"/>
      <c r="F90" s="2" t="n"/>
      <c r="G90" s="4" t="n"/>
      <c r="H90" s="4" t="n"/>
      <c r="I90" s="4" t="n"/>
      <c r="J90" s="4" t="n"/>
      <c r="K90" s="4" t="n"/>
      <c r="L90" s="2" t="n"/>
    </row>
    <row r="91">
      <c r="A91" s="2" t="n"/>
      <c r="B91" s="2" t="n"/>
      <c r="C91" s="2" t="n"/>
      <c r="D91" s="3" t="n"/>
      <c r="E91" s="3" t="n"/>
      <c r="F91" s="2" t="n"/>
      <c r="G91" s="4" t="n"/>
      <c r="H91" s="4" t="n"/>
      <c r="I91" s="4" t="n"/>
      <c r="J91" s="4" t="n"/>
      <c r="K91" s="4" t="n"/>
      <c r="L91" s="2" t="n"/>
    </row>
    <row r="92">
      <c r="A92" s="2" t="n"/>
      <c r="B92" s="2" t="n"/>
      <c r="C92" s="2" t="n"/>
      <c r="D92" s="3" t="n"/>
      <c r="E92" s="3" t="n"/>
      <c r="F92" s="2" t="n"/>
      <c r="G92" s="4" t="n"/>
      <c r="H92" s="4" t="n"/>
      <c r="I92" s="4" t="n"/>
      <c r="J92" s="4" t="n"/>
      <c r="K92" s="4" t="n"/>
      <c r="L92" s="2" t="n"/>
    </row>
    <row r="93">
      <c r="A93" s="2" t="n"/>
      <c r="B93" s="2" t="n"/>
      <c r="C93" s="2" t="n"/>
      <c r="D93" s="3" t="n"/>
      <c r="E93" s="3" t="n"/>
      <c r="F93" s="2" t="n"/>
      <c r="G93" s="4" t="n"/>
      <c r="H93" s="4" t="n"/>
      <c r="I93" s="4" t="n"/>
      <c r="J93" s="4" t="n"/>
      <c r="K93" s="4" t="n"/>
      <c r="L93" s="2" t="n"/>
    </row>
    <row r="94">
      <c r="A94" s="2" t="n"/>
      <c r="B94" s="2" t="n"/>
      <c r="C94" s="2" t="n"/>
      <c r="D94" s="3" t="n"/>
      <c r="E94" s="3" t="n"/>
      <c r="F94" s="2" t="n"/>
      <c r="G94" s="4" t="n"/>
      <c r="H94" s="4" t="n"/>
      <c r="I94" s="4" t="n"/>
      <c r="J94" s="4" t="n"/>
      <c r="K94" s="4" t="n"/>
      <c r="L94" s="2" t="n"/>
    </row>
    <row r="95">
      <c r="A95" s="2" t="n"/>
      <c r="B95" s="2" t="n"/>
      <c r="C95" s="2" t="n"/>
      <c r="D95" s="3" t="n"/>
      <c r="E95" s="3" t="n"/>
      <c r="F95" s="2" t="n"/>
      <c r="G95" s="4" t="n"/>
      <c r="H95" s="4" t="n"/>
      <c r="I95" s="4" t="n"/>
      <c r="J95" s="4" t="n"/>
      <c r="K95" s="4" t="n"/>
      <c r="L95" s="2" t="n"/>
    </row>
    <row r="96">
      <c r="A96" s="2" t="n"/>
      <c r="B96" s="2" t="n"/>
      <c r="C96" s="2" t="n"/>
      <c r="D96" s="3" t="n"/>
      <c r="E96" s="3" t="n"/>
      <c r="F96" s="2" t="n"/>
      <c r="G96" s="4" t="n"/>
      <c r="H96" s="4" t="n"/>
      <c r="I96" s="4" t="n"/>
      <c r="J96" s="4" t="n"/>
      <c r="K96" s="4" t="n"/>
      <c r="L96" s="2" t="n"/>
    </row>
    <row r="97">
      <c r="A97" s="2" t="n"/>
      <c r="B97" s="2" t="n"/>
      <c r="C97" s="2" t="n"/>
      <c r="D97" s="3" t="n"/>
      <c r="E97" s="3" t="n"/>
      <c r="F97" s="2" t="n"/>
      <c r="G97" s="4" t="n"/>
      <c r="H97" s="4" t="n"/>
      <c r="I97" s="4" t="n"/>
      <c r="J97" s="4" t="n"/>
      <c r="K97" s="4" t="n"/>
      <c r="L97" s="2" t="n"/>
    </row>
    <row r="98">
      <c r="A98" s="2" t="n"/>
      <c r="B98" s="2" t="n"/>
      <c r="C98" s="2" t="n"/>
      <c r="D98" s="3" t="n"/>
      <c r="E98" s="3" t="n"/>
      <c r="F98" s="2" t="n"/>
      <c r="G98" s="4" t="n"/>
      <c r="H98" s="4" t="n"/>
      <c r="I98" s="4" t="n"/>
      <c r="J98" s="4" t="n"/>
      <c r="K98" s="4" t="n"/>
      <c r="L98" s="2" t="n"/>
    </row>
    <row r="99">
      <c r="A99" s="2" t="n"/>
      <c r="B99" s="2" t="n"/>
      <c r="C99" s="2" t="n"/>
      <c r="D99" s="3" t="n"/>
      <c r="E99" s="3" t="n"/>
      <c r="F99" s="2" t="n"/>
      <c r="G99" s="4" t="n"/>
      <c r="H99" s="4" t="n"/>
      <c r="I99" s="4" t="n"/>
      <c r="J99" s="4" t="n"/>
      <c r="K99" s="4" t="n"/>
      <c r="L99" s="2" t="n"/>
    </row>
    <row r="100">
      <c r="A100" s="2" t="n"/>
      <c r="B100" s="2" t="n"/>
      <c r="C100" s="2" t="n"/>
      <c r="D100" s="3" t="n"/>
      <c r="E100" s="3" t="n"/>
      <c r="F100" s="2" t="n"/>
      <c r="G100" s="4" t="n"/>
      <c r="H100" s="4" t="n"/>
      <c r="I100" s="4" t="n"/>
      <c r="J100" s="4" t="n"/>
      <c r="K100" s="4" t="n"/>
      <c r="L100" s="2" t="n"/>
    </row>
    <row r="101">
      <c r="A101" s="2" t="n"/>
      <c r="B101" s="2" t="n"/>
      <c r="C101" s="2" t="n"/>
      <c r="D101" s="3" t="n"/>
      <c r="E101" s="3" t="n"/>
      <c r="F101" s="2" t="n"/>
      <c r="G101" s="4" t="n"/>
      <c r="H101" s="4" t="n"/>
      <c r="I101" s="4" t="n"/>
      <c r="J101" s="4" t="n"/>
      <c r="K101" s="4" t="n"/>
      <c r="L101" s="2" t="n"/>
    </row>
  </sheetData>
  <autoFilter ref="A1:L101"/>
  <pageMargins left="0.75" right="0.75" top="1" bottom="1" header="0.5" footer="0.5"/>
</worksheet>
</file>

<file path=xl/worksheets/sheet2.xml><?xml version="1.0" encoding="utf-8"?>
<worksheet xmlns="http://schemas.openxmlformats.org/spreadsheetml/2006/main">
  <sheetPr>
    <tabColor rgb="008B0000"/>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21" customWidth="1" min="3" max="3"/>
    <col width="14" customWidth="1" min="4" max="4"/>
    <col width="26" customWidth="1" min="5" max="5"/>
    <col width="12" customWidth="1" min="6" max="6"/>
    <col width="16" customWidth="1" min="7" max="7"/>
    <col width="16" customWidth="1" min="8" max="8"/>
    <col width="12" customWidth="1" min="9" max="9"/>
  </cols>
  <sheetData>
    <row r="1">
      <c r="A1" s="1" t="inlineStr">
        <is>
          <t>Date</t>
        </is>
      </c>
      <c r="B1" s="1" t="inlineStr">
        <is>
          <t>Month</t>
        </is>
      </c>
      <c r="C1" s="1" t="inlineStr">
        <is>
          <t>Category</t>
        </is>
      </c>
      <c r="D1" s="1" t="inlineStr">
        <is>
          <t>Vendor/Payee</t>
        </is>
      </c>
      <c r="E1" s="1" t="inlineStr">
        <is>
          <t>Description</t>
        </is>
      </c>
      <c r="F1" s="1" t="inlineStr">
        <is>
          <t>Amount</t>
        </is>
      </c>
      <c r="G1" s="1" t="inlineStr">
        <is>
          <t>Payment Method</t>
        </is>
      </c>
      <c r="H1" s="1" t="inlineStr">
        <is>
          <t>Receipt? (Y/N)</t>
        </is>
      </c>
      <c r="I1" s="30" t="inlineStr">
        <is>
          <t>Status</t>
        </is>
      </c>
    </row>
    <row r="2">
      <c r="A2" s="3" t="n">
        <v>46111</v>
      </c>
      <c r="B2" s="2">
        <f>IF(A2="","",TEXT(A2,"MMM YYYY"))</f>
        <v/>
      </c>
      <c r="C2" s="2" t="inlineStr">
        <is>
          <t>Cleaning &amp; turnover</t>
        </is>
      </c>
      <c r="D2" s="2" t="inlineStr">
        <is>
          <t>Julie Rose</t>
        </is>
      </c>
      <c r="E2" s="2" t="inlineStr">
        <is>
          <t>Airbnb turnover cleaning</t>
        </is>
      </c>
      <c r="F2" s="4" t="n">
        <v>50</v>
      </c>
      <c r="G2" s="2" t="inlineStr">
        <is>
          <t>Cash</t>
        </is>
      </c>
      <c r="H2" s="2" t="inlineStr">
        <is>
          <t>N</t>
        </is>
      </c>
      <c r="I2" s="2" t="inlineStr">
        <is>
          <t>Business</t>
        </is>
      </c>
    </row>
    <row r="3">
      <c r="A3" s="3" t="n">
        <v>46118</v>
      </c>
      <c r="B3" s="2">
        <f>IF(A3="","",TEXT(A3,"MMM YYYY"))</f>
        <v/>
      </c>
      <c r="C3" s="2" t="inlineStr">
        <is>
          <t>Cleaning &amp; turnover</t>
        </is>
      </c>
      <c r="D3" s="2" t="inlineStr">
        <is>
          <t>Julie Rose</t>
        </is>
      </c>
      <c r="E3" s="2" t="inlineStr">
        <is>
          <t>Airbnb turnover cleaning</t>
        </is>
      </c>
      <c r="F3" s="4" t="n">
        <v>60</v>
      </c>
      <c r="G3" s="2" t="inlineStr">
        <is>
          <t>Cash</t>
        </is>
      </c>
      <c r="H3" s="2" t="inlineStr">
        <is>
          <t>N</t>
        </is>
      </c>
      <c r="I3" s="2" t="inlineStr">
        <is>
          <t>Business</t>
        </is>
      </c>
    </row>
    <row r="4">
      <c r="A4" s="3" t="n">
        <v>46120</v>
      </c>
      <c r="B4" s="2">
        <f>IF(A4="","",TEXT(A4,"MMM YYYY"))</f>
        <v/>
      </c>
      <c r="C4" s="2" t="inlineStr">
        <is>
          <t>Cleaning &amp; turnover</t>
        </is>
      </c>
      <c r="D4" s="2" t="inlineStr">
        <is>
          <t>Julie Rose</t>
        </is>
      </c>
      <c r="E4" s="2" t="inlineStr">
        <is>
          <t>Airbnb turnover cleaning</t>
        </is>
      </c>
      <c r="F4" s="4" t="n">
        <v>60</v>
      </c>
      <c r="G4" s="2" t="inlineStr">
        <is>
          <t>Cash</t>
        </is>
      </c>
      <c r="H4" s="2" t="inlineStr">
        <is>
          <t>N</t>
        </is>
      </c>
      <c r="I4" s="2" t="inlineStr">
        <is>
          <t>Business</t>
        </is>
      </c>
    </row>
    <row r="5">
      <c r="A5" s="3" t="n">
        <v>46023</v>
      </c>
      <c r="B5" s="2">
        <f>IF(A5="","",TEXT(A5,"MMM YYYY"))</f>
        <v/>
      </c>
      <c r="C5" s="2" t="inlineStr">
        <is>
          <t>Repairs &amp; maintenance</t>
        </is>
      </c>
      <c r="D5" s="2" t="inlineStr">
        <is>
          <t>Lowe's</t>
        </is>
      </c>
      <c r="E5" s="2" t="inlineStr">
        <is>
          <t>LOWES #00907* 866-483-7521 NC | Dishwasher</t>
        </is>
      </c>
      <c r="F5" s="4" t="n">
        <v>323.67</v>
      </c>
      <c r="G5" s="2" t="inlineStr">
        <is>
          <t>Robinhood CC</t>
        </is>
      </c>
      <c r="H5" s="2" t="inlineStr">
        <is>
          <t>CC</t>
        </is>
      </c>
      <c r="I5" s="2" t="inlineStr">
        <is>
          <t>Business</t>
        </is>
      </c>
    </row>
    <row r="6">
      <c r="A6" s="3" t="n">
        <v>46023</v>
      </c>
      <c r="B6" s="2">
        <f>IF(A6="","",TEXT(A6,"MMM YYYY"))</f>
        <v/>
      </c>
      <c r="C6" s="2" t="inlineStr">
        <is>
          <t>Supplies</t>
        </is>
      </c>
      <c r="D6" s="2" t="inlineStr">
        <is>
          <t>Brookshire Brothers</t>
        </is>
      </c>
      <c r="E6" s="2" t="inlineStr">
        <is>
          <t>BROOKSHIRE BROS #10 FAIRFIELD TX | Property supplies</t>
        </is>
      </c>
      <c r="F6" s="4" t="n">
        <v>12.06</v>
      </c>
      <c r="G6" s="2" t="inlineStr">
        <is>
          <t>Robinhood CC</t>
        </is>
      </c>
      <c r="H6" s="2" t="inlineStr">
        <is>
          <t>CC</t>
        </is>
      </c>
      <c r="I6" s="2" t="inlineStr">
        <is>
          <t>Business</t>
        </is>
      </c>
    </row>
    <row r="7">
      <c r="A7" s="3" t="n">
        <v>46025</v>
      </c>
      <c r="B7" s="2">
        <f>IF(A7="","",TEXT(A7,"MMM YYYY"))</f>
        <v/>
      </c>
      <c r="C7" s="2" t="inlineStr">
        <is>
          <t>Supplies</t>
        </is>
      </c>
      <c r="D7" s="2" t="inlineStr">
        <is>
          <t>Dfw Estate Liquidators</t>
        </is>
      </c>
      <c r="E7" s="2" t="inlineStr">
        <is>
          <t>DFW ESTATE LIQUIDATORS WEATHERFORD TX | Furnishing</t>
        </is>
      </c>
      <c r="F7" s="4" t="n">
        <v>48.46</v>
      </c>
      <c r="G7" s="2" t="inlineStr">
        <is>
          <t>Robinhood CC</t>
        </is>
      </c>
      <c r="H7" s="2" t="inlineStr">
        <is>
          <t>CC</t>
        </is>
      </c>
      <c r="I7" s="2" t="inlineStr">
        <is>
          <t>Business</t>
        </is>
      </c>
    </row>
    <row r="8">
      <c r="A8" s="3" t="n">
        <v>46025</v>
      </c>
      <c r="B8" s="2">
        <f>IF(A8="","",TEXT(A8,"MMM YYYY"))</f>
        <v/>
      </c>
      <c r="C8" s="2" t="inlineStr">
        <is>
          <t>Supplies</t>
        </is>
      </c>
      <c r="D8" s="2" t="inlineStr">
        <is>
          <t>Dfw Estate Liquidators</t>
        </is>
      </c>
      <c r="E8" s="2" t="inlineStr">
        <is>
          <t>DFW ESTATE LIQUIDATORS WEATHERFORD TX | Furnishing</t>
        </is>
      </c>
      <c r="F8" s="4" t="n">
        <v>8.4</v>
      </c>
      <c r="G8" s="2" t="inlineStr">
        <is>
          <t>Robinhood CC</t>
        </is>
      </c>
      <c r="H8" s="2" t="inlineStr">
        <is>
          <t>CC</t>
        </is>
      </c>
      <c r="I8" s="2" t="inlineStr">
        <is>
          <t>Business</t>
        </is>
      </c>
    </row>
    <row r="9">
      <c r="A9" s="31" t="n">
        <v>46026</v>
      </c>
      <c r="B9" s="32">
        <f>IF(A9="","",TEXT(A9,"MMM YYYY"))</f>
        <v/>
      </c>
      <c r="C9" s="32" t="inlineStr">
        <is>
          <t>Repairs &amp; maintenance</t>
        </is>
      </c>
      <c r="D9" s="32" t="inlineStr">
        <is>
          <t>Refund: Home Depot</t>
        </is>
      </c>
      <c r="E9" s="32" t="inlineStr">
        <is>
          <t>REFUND: THE HOME DEPOT #8517 GRAND PRAIRIETX | VERIFY: GP/Mansfield HD - STR or personal?</t>
        </is>
      </c>
      <c r="F9" s="33" t="n">
        <v>-20.92</v>
      </c>
      <c r="G9" s="32" t="inlineStr">
        <is>
          <t>Robinhood CC</t>
        </is>
      </c>
      <c r="H9" s="32" t="inlineStr">
        <is>
          <t>CC</t>
        </is>
      </c>
      <c r="I9" s="32" t="inlineStr">
        <is>
          <t>Review</t>
        </is>
      </c>
    </row>
    <row r="10">
      <c r="A10" s="31" t="n">
        <v>46026</v>
      </c>
      <c r="B10" s="32">
        <f>IF(A10="","",TEXT(A10,"MMM YYYY"))</f>
        <v/>
      </c>
      <c r="C10" s="32" t="inlineStr">
        <is>
          <t>Repairs &amp; maintenance</t>
        </is>
      </c>
      <c r="D10" s="32" t="inlineStr">
        <is>
          <t>Refund: Home Depot</t>
        </is>
      </c>
      <c r="E10" s="32" t="inlineStr">
        <is>
          <t>REFUND: THE HOME DEPOT #8517 GRAND PRAIRIETX | VERIFY: GP/Mansfield HD - STR or personal?</t>
        </is>
      </c>
      <c r="F10" s="33" t="n">
        <v>-17.47</v>
      </c>
      <c r="G10" s="32" t="inlineStr">
        <is>
          <t>Robinhood CC</t>
        </is>
      </c>
      <c r="H10" s="32" t="inlineStr">
        <is>
          <t>CC</t>
        </is>
      </c>
      <c r="I10" s="32" t="inlineStr">
        <is>
          <t>Review</t>
        </is>
      </c>
    </row>
    <row r="11">
      <c r="A11" s="3" t="n">
        <v>46027</v>
      </c>
      <c r="B11" s="2">
        <f>IF(A11="","",TEXT(A11,"MMM YYYY"))</f>
        <v/>
      </c>
      <c r="C11" s="2" t="inlineStr">
        <is>
          <t>Repairs &amp; maintenance</t>
        </is>
      </c>
      <c r="D11" s="2" t="inlineStr">
        <is>
          <t>Home Depot</t>
        </is>
      </c>
      <c r="E11" s="2" t="inlineStr">
        <is>
          <t>THE HOME DEPOT #6817 CORSICANA TX</t>
        </is>
      </c>
      <c r="F11" s="4" t="n">
        <v>269.82</v>
      </c>
      <c r="G11" s="2" t="inlineStr">
        <is>
          <t>Robinhood CC</t>
        </is>
      </c>
      <c r="H11" s="2" t="inlineStr">
        <is>
          <t>CC</t>
        </is>
      </c>
      <c r="I11" s="2" t="inlineStr">
        <is>
          <t>Business</t>
        </is>
      </c>
    </row>
    <row r="12">
      <c r="A12" s="3" t="n">
        <v>46028</v>
      </c>
      <c r="B12" s="2">
        <f>IF(A12="","",TEXT(A12,"MMM YYYY"))</f>
        <v/>
      </c>
      <c r="C12" s="2" t="inlineStr">
        <is>
          <t>Utilities</t>
        </is>
      </c>
      <c r="D12" s="2" t="inlineStr">
        <is>
          <t>Maga Waste, Llc</t>
        </is>
      </c>
      <c r="E12" s="2" t="inlineStr">
        <is>
          <t>TRB MAGA WASTE LLC 802-5603595 VT | Trash service</t>
        </is>
      </c>
      <c r="F12" s="4" t="n">
        <v>170</v>
      </c>
      <c r="G12" s="2" t="inlineStr">
        <is>
          <t>Robinhood CC</t>
        </is>
      </c>
      <c r="H12" s="2" t="inlineStr">
        <is>
          <t>CC</t>
        </is>
      </c>
      <c r="I12" s="2" t="inlineStr">
        <is>
          <t>Business</t>
        </is>
      </c>
    </row>
    <row r="13">
      <c r="A13" s="31" t="n">
        <v>46029</v>
      </c>
      <c r="B13" s="32">
        <f>IF(A13="","",TEXT(A13,"MMM YYYY"))</f>
        <v/>
      </c>
      <c r="C13" s="32" t="inlineStr">
        <is>
          <t>Repairs &amp; maintenance</t>
        </is>
      </c>
      <c r="D13" s="32" t="inlineStr">
        <is>
          <t>Home Depot</t>
        </is>
      </c>
      <c r="E13" s="32" t="inlineStr">
        <is>
          <t>THE HOME DEPOT #6568 MANSFIELD TX | VERIFY: GP/Mansfield HD - STR or personal?</t>
        </is>
      </c>
      <c r="F13" s="33" t="n">
        <v>142.7</v>
      </c>
      <c r="G13" s="32" t="inlineStr">
        <is>
          <t>Robinhood CC</t>
        </is>
      </c>
      <c r="H13" s="32" t="inlineStr">
        <is>
          <t>CC</t>
        </is>
      </c>
      <c r="I13" s="32" t="inlineStr">
        <is>
          <t>Review</t>
        </is>
      </c>
    </row>
    <row r="14">
      <c r="A14" s="3" t="n">
        <v>46031</v>
      </c>
      <c r="B14" s="2">
        <f>IF(A14="","",TEXT(A14,"MMM YYYY"))</f>
        <v/>
      </c>
      <c r="C14" s="2" t="inlineStr">
        <is>
          <t>Travel</t>
        </is>
      </c>
      <c r="D14" s="2" t="inlineStr">
        <is>
          <t>Burger King</t>
        </is>
      </c>
      <c r="E14" s="2" t="inlineStr">
        <is>
          <t>Travel meals/fuel - Burger King | Trip to Fairfield</t>
        </is>
      </c>
      <c r="F14" s="4" t="n">
        <v>20.56</v>
      </c>
      <c r="G14" s="2" t="inlineStr">
        <is>
          <t>Robinhood CC</t>
        </is>
      </c>
      <c r="H14" s="2" t="inlineStr">
        <is>
          <t>CC</t>
        </is>
      </c>
      <c r="I14" s="2" t="inlineStr">
        <is>
          <t>Business</t>
        </is>
      </c>
    </row>
    <row r="15">
      <c r="A15" s="3" t="n">
        <v>46031</v>
      </c>
      <c r="B15" s="2">
        <f>IF(A15="","",TEXT(A15,"MMM YYYY"))</f>
        <v/>
      </c>
      <c r="C15" s="2" t="inlineStr">
        <is>
          <t>Supplies</t>
        </is>
      </c>
      <c r="D15" s="2" t="inlineStr">
        <is>
          <t>Brookshire Brothers</t>
        </is>
      </c>
      <c r="E15" s="2" t="inlineStr">
        <is>
          <t>BROOKSHIRE BROS #10 FAIRFIELD TX | Property supplies</t>
        </is>
      </c>
      <c r="F15" s="4" t="n">
        <v>43.42</v>
      </c>
      <c r="G15" s="2" t="inlineStr">
        <is>
          <t>Robinhood CC</t>
        </is>
      </c>
      <c r="H15" s="2" t="inlineStr">
        <is>
          <t>CC</t>
        </is>
      </c>
      <c r="I15" s="2" t="inlineStr">
        <is>
          <t>Business</t>
        </is>
      </c>
    </row>
    <row r="16">
      <c r="A16" s="3" t="n">
        <v>46031</v>
      </c>
      <c r="B16" s="2">
        <f>IF(A16="","",TEXT(A16,"MMM YYYY"))</f>
        <v/>
      </c>
      <c r="C16" s="2" t="inlineStr">
        <is>
          <t>Repairs &amp; maintenance</t>
        </is>
      </c>
      <c r="D16" s="2" t="inlineStr">
        <is>
          <t>Home Depot</t>
        </is>
      </c>
      <c r="E16" s="2" t="inlineStr">
        <is>
          <t>THE HOME DEPOT #6817 CORSICANA TX</t>
        </is>
      </c>
      <c r="F16" s="4" t="n">
        <v>32.02</v>
      </c>
      <c r="G16" s="2" t="inlineStr">
        <is>
          <t>Robinhood CC</t>
        </is>
      </c>
      <c r="H16" s="2" t="inlineStr">
        <is>
          <t>CC</t>
        </is>
      </c>
      <c r="I16" s="2" t="inlineStr">
        <is>
          <t>Business</t>
        </is>
      </c>
    </row>
    <row r="17">
      <c r="A17" s="3" t="n">
        <v>46032</v>
      </c>
      <c r="B17" s="2">
        <f>IF(A17="","",TEXT(A17,"MMM YYYY"))</f>
        <v/>
      </c>
      <c r="C17" s="2" t="inlineStr">
        <is>
          <t>Repairs &amp; maintenance</t>
        </is>
      </c>
      <c r="D17" s="2" t="inlineStr">
        <is>
          <t>Home Depot</t>
        </is>
      </c>
      <c r="E17" s="2" t="inlineStr">
        <is>
          <t>THE HOME DEPOT #6817 CORSICANA TX</t>
        </is>
      </c>
      <c r="F17" s="4" t="n">
        <v>142.12</v>
      </c>
      <c r="G17" s="2" t="inlineStr">
        <is>
          <t>Robinhood CC</t>
        </is>
      </c>
      <c r="H17" s="2" t="inlineStr">
        <is>
          <t>CC</t>
        </is>
      </c>
      <c r="I17" s="2" t="inlineStr">
        <is>
          <t>Business</t>
        </is>
      </c>
    </row>
    <row r="18">
      <c r="A18" s="3" t="n">
        <v>46032</v>
      </c>
      <c r="B18" s="2">
        <f>IF(A18="","",TEXT(A18,"MMM YYYY"))</f>
        <v/>
      </c>
      <c r="C18" s="2" t="inlineStr">
        <is>
          <t>Repairs &amp; maintenance</t>
        </is>
      </c>
      <c r="D18" s="2" t="inlineStr">
        <is>
          <t>Home Depot</t>
        </is>
      </c>
      <c r="E18" s="2" t="inlineStr">
        <is>
          <t>THE HOME DEPOT #6817 CORSICANA TX</t>
        </is>
      </c>
      <c r="F18" s="4" t="n">
        <v>17.97</v>
      </c>
      <c r="G18" s="2" t="inlineStr">
        <is>
          <t>Robinhood CC</t>
        </is>
      </c>
      <c r="H18" s="2" t="inlineStr">
        <is>
          <t>CC</t>
        </is>
      </c>
      <c r="I18" s="2" t="inlineStr">
        <is>
          <t>Business</t>
        </is>
      </c>
    </row>
    <row r="19">
      <c r="A19" s="3" t="n">
        <v>46034</v>
      </c>
      <c r="B19" s="2">
        <f>IF(A19="","",TEXT(A19,"MMM YYYY"))</f>
        <v/>
      </c>
      <c r="C19" s="2" t="inlineStr">
        <is>
          <t>Repairs &amp; maintenance</t>
        </is>
      </c>
      <c r="D19" s="2" t="inlineStr">
        <is>
          <t>Refund: Home Depot</t>
        </is>
      </c>
      <c r="E19" s="2" t="inlineStr">
        <is>
          <t>REFUND: THE HOME DEPOT #6817 CORSICANA TX</t>
        </is>
      </c>
      <c r="F19" s="4" t="n">
        <v>-20.46</v>
      </c>
      <c r="G19" s="2" t="inlineStr">
        <is>
          <t>Robinhood CC</t>
        </is>
      </c>
      <c r="H19" s="2" t="inlineStr">
        <is>
          <t>CC</t>
        </is>
      </c>
      <c r="I19" s="2" t="inlineStr">
        <is>
          <t>Business</t>
        </is>
      </c>
    </row>
    <row r="20">
      <c r="A20" s="3" t="n">
        <v>46034</v>
      </c>
      <c r="B20" s="2">
        <f>IF(A20="","",TEXT(A20,"MMM YYYY"))</f>
        <v/>
      </c>
      <c r="C20" s="2" t="inlineStr">
        <is>
          <t>Repairs &amp; maintenance</t>
        </is>
      </c>
      <c r="D20" s="2" t="inlineStr">
        <is>
          <t>Refund: Home Depot</t>
        </is>
      </c>
      <c r="E20" s="2" t="inlineStr">
        <is>
          <t>REFUND: THE HOME DEPOT #6817 CORSICANA TX</t>
        </is>
      </c>
      <c r="F20" s="4" t="n">
        <v>-119.92</v>
      </c>
      <c r="G20" s="2" t="inlineStr">
        <is>
          <t>Robinhood CC</t>
        </is>
      </c>
      <c r="H20" s="2" t="inlineStr">
        <is>
          <t>CC</t>
        </is>
      </c>
      <c r="I20" s="2" t="inlineStr">
        <is>
          <t>Business</t>
        </is>
      </c>
    </row>
    <row r="21">
      <c r="A21" s="31" t="n">
        <v>46035</v>
      </c>
      <c r="B21" s="32">
        <f>IF(A21="","",TEXT(A21,"MMM YYYY"))</f>
        <v/>
      </c>
      <c r="C21" s="32" t="inlineStr">
        <is>
          <t>Repairs &amp; maintenance</t>
        </is>
      </c>
      <c r="D21" s="32" t="inlineStr">
        <is>
          <t>Home Depot</t>
        </is>
      </c>
      <c r="E21" s="32" t="inlineStr">
        <is>
          <t>HOMEDEPOT.COM 800-430-3376 GA | VERIFY: GP/Mansfield HD - STR or personal?</t>
        </is>
      </c>
      <c r="F21" s="33" t="n">
        <v>269</v>
      </c>
      <c r="G21" s="32" t="inlineStr">
        <is>
          <t>Robinhood CC</t>
        </is>
      </c>
      <c r="H21" s="32" t="inlineStr">
        <is>
          <t>CC</t>
        </is>
      </c>
      <c r="I21" s="32" t="inlineStr">
        <is>
          <t>Review</t>
        </is>
      </c>
    </row>
    <row r="22">
      <c r="A22" s="31" t="n">
        <v>46035</v>
      </c>
      <c r="B22" s="32">
        <f>IF(A22="","",TEXT(A22,"MMM YYYY"))</f>
        <v/>
      </c>
      <c r="C22" s="32" t="inlineStr">
        <is>
          <t>Repairs &amp; maintenance</t>
        </is>
      </c>
      <c r="D22" s="32" t="inlineStr">
        <is>
          <t>Home Depot</t>
        </is>
      </c>
      <c r="E22" s="32" t="inlineStr">
        <is>
          <t>HOMEDEPOT.COM 800-430-3376 GA | VERIFY: GP/Mansfield HD - STR or personal?</t>
        </is>
      </c>
      <c r="F22" s="33" t="n">
        <v>46.12</v>
      </c>
      <c r="G22" s="32" t="inlineStr">
        <is>
          <t>Robinhood CC</t>
        </is>
      </c>
      <c r="H22" s="32" t="inlineStr">
        <is>
          <t>CC</t>
        </is>
      </c>
      <c r="I22" s="32" t="inlineStr">
        <is>
          <t>Review</t>
        </is>
      </c>
    </row>
    <row r="23">
      <c r="A23" s="3" t="n">
        <v>46037</v>
      </c>
      <c r="B23" s="2">
        <f>IF(A23="","",TEXT(A23,"MMM YYYY"))</f>
        <v/>
      </c>
      <c r="C23" s="2" t="inlineStr">
        <is>
          <t>Repairs &amp; maintenance</t>
        </is>
      </c>
      <c r="D23" s="2" t="inlineStr">
        <is>
          <t>Home Depot</t>
        </is>
      </c>
      <c r="E23" s="2" t="inlineStr">
        <is>
          <t>THE HOME DEPOT #6817 CORSICANA TX</t>
        </is>
      </c>
      <c r="F23" s="4" t="n">
        <v>1066.5</v>
      </c>
      <c r="G23" s="2" t="inlineStr">
        <is>
          <t>Robinhood CC</t>
        </is>
      </c>
      <c r="H23" s="2" t="inlineStr">
        <is>
          <t>CC</t>
        </is>
      </c>
      <c r="I23" s="2" t="inlineStr">
        <is>
          <t>Business</t>
        </is>
      </c>
    </row>
    <row r="24">
      <c r="A24" s="3" t="n">
        <v>46037</v>
      </c>
      <c r="B24" s="2">
        <f>IF(A24="","",TEXT(A24,"MMM YYYY"))</f>
        <v/>
      </c>
      <c r="C24" s="2" t="inlineStr">
        <is>
          <t>Repairs &amp; maintenance</t>
        </is>
      </c>
      <c r="D24" s="2" t="inlineStr">
        <is>
          <t>Brenco</t>
        </is>
      </c>
      <c r="E24" s="2" t="inlineStr">
        <is>
          <t>BRENCO FAIRFIELD TX</t>
        </is>
      </c>
      <c r="F24" s="4" t="n">
        <v>74.23</v>
      </c>
      <c r="G24" s="2" t="inlineStr">
        <is>
          <t>Robinhood CC</t>
        </is>
      </c>
      <c r="H24" s="2" t="inlineStr">
        <is>
          <t>CC</t>
        </is>
      </c>
      <c r="I24" s="2" t="inlineStr">
        <is>
          <t>Business</t>
        </is>
      </c>
    </row>
    <row r="25">
      <c r="A25" s="3" t="n">
        <v>46038</v>
      </c>
      <c r="B25" s="2">
        <f>IF(A25="","",TEXT(A25,"MMM YYYY"))</f>
        <v/>
      </c>
      <c r="C25" s="2" t="inlineStr">
        <is>
          <t>Repairs &amp; maintenance</t>
        </is>
      </c>
      <c r="D25" s="2" t="inlineStr">
        <is>
          <t>Home Depot</t>
        </is>
      </c>
      <c r="E25" s="2" t="inlineStr">
        <is>
          <t>THE HOME DEPOT #6817 CORSICANA TX</t>
        </is>
      </c>
      <c r="F25" s="4" t="n">
        <v>486.62</v>
      </c>
      <c r="G25" s="2" t="inlineStr">
        <is>
          <t>Robinhood CC</t>
        </is>
      </c>
      <c r="H25" s="2" t="inlineStr">
        <is>
          <t>CC</t>
        </is>
      </c>
      <c r="I25" s="2" t="inlineStr">
        <is>
          <t>Business</t>
        </is>
      </c>
    </row>
    <row r="26">
      <c r="A26" s="3" t="n">
        <v>46039</v>
      </c>
      <c r="B26" s="2">
        <f>IF(A26="","",TEXT(A26,"MMM YYYY"))</f>
        <v/>
      </c>
      <c r="C26" s="2" t="inlineStr">
        <is>
          <t>Supplies</t>
        </is>
      </c>
      <c r="D26" s="2" t="inlineStr">
        <is>
          <t>Brookshire Brothers</t>
        </is>
      </c>
      <c r="E26" s="2" t="inlineStr">
        <is>
          <t>BROOKSHIRE BROS #10 FAIRFIELD TX | Property supplies</t>
        </is>
      </c>
      <c r="F26" s="4" t="n">
        <v>102.63</v>
      </c>
      <c r="G26" s="2" t="inlineStr">
        <is>
          <t>Robinhood CC</t>
        </is>
      </c>
      <c r="H26" s="2" t="inlineStr">
        <is>
          <t>CC</t>
        </is>
      </c>
      <c r="I26" s="2" t="inlineStr">
        <is>
          <t>Business</t>
        </is>
      </c>
    </row>
    <row r="27">
      <c r="A27" s="3" t="n">
        <v>46040</v>
      </c>
      <c r="B27" s="2">
        <f>IF(A27="","",TEXT(A27,"MMM YYYY"))</f>
        <v/>
      </c>
      <c r="C27" s="2" t="inlineStr">
        <is>
          <t>Repairs &amp; maintenance</t>
        </is>
      </c>
      <c r="D27" s="2" t="inlineStr">
        <is>
          <t>Ace Home Center</t>
        </is>
      </c>
      <c r="E27" s="2" t="inlineStr">
        <is>
          <t>ACE HOME CENTER FAIRFIELD TX</t>
        </is>
      </c>
      <c r="F27" s="4" t="n">
        <v>8.65</v>
      </c>
      <c r="G27" s="2" t="inlineStr">
        <is>
          <t>Robinhood CC</t>
        </is>
      </c>
      <c r="H27" s="2" t="inlineStr">
        <is>
          <t>CC</t>
        </is>
      </c>
      <c r="I27" s="2" t="inlineStr">
        <is>
          <t>Business</t>
        </is>
      </c>
    </row>
    <row r="28">
      <c r="A28" s="3" t="n">
        <v>46040</v>
      </c>
      <c r="B28" s="2">
        <f>IF(A28="","",TEXT(A28,"MMM YYYY"))</f>
        <v/>
      </c>
      <c r="C28" s="2" t="inlineStr">
        <is>
          <t>Travel</t>
        </is>
      </c>
      <c r="D28" s="2" t="inlineStr">
        <is>
          <t>Pizza Hut</t>
        </is>
      </c>
      <c r="E28" s="2" t="inlineStr">
        <is>
          <t>Travel meals/fuel - Pizza Hut | Trip to Fairfield</t>
        </is>
      </c>
      <c r="F28" s="4" t="n">
        <v>24.13</v>
      </c>
      <c r="G28" s="2" t="inlineStr">
        <is>
          <t>Robinhood CC</t>
        </is>
      </c>
      <c r="H28" s="2" t="inlineStr">
        <is>
          <t>CC</t>
        </is>
      </c>
      <c r="I28" s="2" t="inlineStr">
        <is>
          <t>Business</t>
        </is>
      </c>
    </row>
    <row r="29">
      <c r="A29" s="31" t="n">
        <v>46042</v>
      </c>
      <c r="B29" s="32">
        <f>IF(A29="","",TEXT(A29,"MMM YYYY"))</f>
        <v/>
      </c>
      <c r="C29" s="32" t="inlineStr">
        <is>
          <t>Repairs &amp; maintenance</t>
        </is>
      </c>
      <c r="D29" s="32" t="inlineStr">
        <is>
          <t>Home Depot</t>
        </is>
      </c>
      <c r="E29" s="32" t="inlineStr">
        <is>
          <t>THE HOME DEPOT #8517 GRAND PRAIRIETX | VERIFY: GP/Mansfield HD - STR or personal?</t>
        </is>
      </c>
      <c r="F29" s="33" t="n">
        <v>601</v>
      </c>
      <c r="G29" s="32" t="inlineStr">
        <is>
          <t>Robinhood CC</t>
        </is>
      </c>
      <c r="H29" s="32" t="inlineStr">
        <is>
          <t>CC</t>
        </is>
      </c>
      <c r="I29" s="32" t="inlineStr">
        <is>
          <t>Review</t>
        </is>
      </c>
    </row>
    <row r="30">
      <c r="A30" s="31" t="n">
        <v>46042</v>
      </c>
      <c r="B30" s="32">
        <f>IF(A30="","",TEXT(A30,"MMM YYYY"))</f>
        <v/>
      </c>
      <c r="C30" s="32" t="inlineStr">
        <is>
          <t>Repairs &amp; maintenance</t>
        </is>
      </c>
      <c r="D30" s="32" t="inlineStr">
        <is>
          <t>Refund: Home Depot</t>
        </is>
      </c>
      <c r="E30" s="32" t="inlineStr">
        <is>
          <t>REFUND: THE HOME DEPOT #8517 GRAND PRAIRIETX | VERIFY: GP/Mansfield HD - STR or personal?</t>
        </is>
      </c>
      <c r="F30" s="33" t="n">
        <v>-269</v>
      </c>
      <c r="G30" s="32" t="inlineStr">
        <is>
          <t>Robinhood CC</t>
        </is>
      </c>
      <c r="H30" s="32" t="inlineStr">
        <is>
          <t>CC</t>
        </is>
      </c>
      <c r="I30" s="32" t="inlineStr">
        <is>
          <t>Review</t>
        </is>
      </c>
    </row>
    <row r="31">
      <c r="A31" s="31" t="n">
        <v>46042</v>
      </c>
      <c r="B31" s="32">
        <f>IF(A31="","",TEXT(A31,"MMM YYYY"))</f>
        <v/>
      </c>
      <c r="C31" s="32" t="inlineStr">
        <is>
          <t>Repairs &amp; maintenance</t>
        </is>
      </c>
      <c r="D31" s="32" t="inlineStr">
        <is>
          <t>Home Depot</t>
        </is>
      </c>
      <c r="E31" s="32" t="inlineStr">
        <is>
          <t>THE HOME DEPOT #8517 GRAND PRAIRIETX | VERIFY: GP/Mansfield HD - STR or personal?</t>
        </is>
      </c>
      <c r="F31" s="33" t="n">
        <v>14.98</v>
      </c>
      <c r="G31" s="32" t="inlineStr">
        <is>
          <t>Robinhood CC</t>
        </is>
      </c>
      <c r="H31" s="32" t="inlineStr">
        <is>
          <t>CC</t>
        </is>
      </c>
      <c r="I31" s="32" t="inlineStr">
        <is>
          <t>Review</t>
        </is>
      </c>
    </row>
    <row r="32">
      <c r="A32" s="31" t="n">
        <v>46042</v>
      </c>
      <c r="B32" s="32">
        <f>IF(A32="","",TEXT(A32,"MMM YYYY"))</f>
        <v/>
      </c>
      <c r="C32" s="32" t="inlineStr">
        <is>
          <t>Repairs &amp; maintenance</t>
        </is>
      </c>
      <c r="D32" s="32" t="inlineStr">
        <is>
          <t>Home Depot</t>
        </is>
      </c>
      <c r="E32" s="32" t="inlineStr">
        <is>
          <t>THE HOME DEPOT #0507 GRAND PRAIRIETX | VERIFY: GP/Mansfield HD - STR or personal?</t>
        </is>
      </c>
      <c r="F32" s="33" t="n">
        <v>68.95999999999999</v>
      </c>
      <c r="G32" s="32" t="inlineStr">
        <is>
          <t>Robinhood CC</t>
        </is>
      </c>
      <c r="H32" s="32" t="inlineStr">
        <is>
          <t>CC</t>
        </is>
      </c>
      <c r="I32" s="32" t="inlineStr">
        <is>
          <t>Review</t>
        </is>
      </c>
    </row>
    <row r="33">
      <c r="A33" s="3" t="n">
        <v>46048</v>
      </c>
      <c r="B33" s="2">
        <f>IF(A33="","",TEXT(A33,"MMM YYYY"))</f>
        <v/>
      </c>
      <c r="C33" s="2" t="inlineStr">
        <is>
          <t>Utilities</t>
        </is>
      </c>
      <c r="D33" s="2" t="inlineStr">
        <is>
          <t>Gexa Energy</t>
        </is>
      </c>
      <c r="E33" s="2" t="inlineStr">
        <is>
          <t>GEXA ENERGY 866-329-4392 TX | Electric</t>
        </is>
      </c>
      <c r="F33" s="4" t="n">
        <v>81.89</v>
      </c>
      <c r="G33" s="2" t="inlineStr">
        <is>
          <t>Robinhood CC</t>
        </is>
      </c>
      <c r="H33" s="2" t="inlineStr">
        <is>
          <t>CC</t>
        </is>
      </c>
      <c r="I33" s="2" t="inlineStr">
        <is>
          <t>Business</t>
        </is>
      </c>
    </row>
    <row r="34">
      <c r="A34" s="31" t="n">
        <v>46057</v>
      </c>
      <c r="B34" s="32">
        <f>IF(A34="","",TEXT(A34,"MMM YYYY"))</f>
        <v/>
      </c>
      <c r="C34" s="32" t="inlineStr">
        <is>
          <t>Repairs &amp; maintenance</t>
        </is>
      </c>
      <c r="D34" s="32" t="inlineStr">
        <is>
          <t>Home Depot</t>
        </is>
      </c>
      <c r="E34" s="32" t="inlineStr">
        <is>
          <t>THE HOME DEPOT #6568 MANSFIELD TX | VERIFY: GP/Mansfield HD - STR or personal?</t>
        </is>
      </c>
      <c r="F34" s="33" t="n">
        <v>3.25</v>
      </c>
      <c r="G34" s="32" t="inlineStr">
        <is>
          <t>Robinhood CC</t>
        </is>
      </c>
      <c r="H34" s="32" t="inlineStr">
        <is>
          <t>CC</t>
        </is>
      </c>
      <c r="I34" s="32" t="inlineStr">
        <is>
          <t>Review</t>
        </is>
      </c>
    </row>
    <row r="35">
      <c r="A35" s="31" t="n">
        <v>46057</v>
      </c>
      <c r="B35" s="32">
        <f>IF(A35="","",TEXT(A35,"MMM YYYY"))</f>
        <v/>
      </c>
      <c r="C35" s="32" t="inlineStr">
        <is>
          <t>Repairs &amp; maintenance</t>
        </is>
      </c>
      <c r="D35" s="32" t="inlineStr">
        <is>
          <t>Refund: Home Depot</t>
        </is>
      </c>
      <c r="E35" s="32" t="inlineStr">
        <is>
          <t>REFUND: THE HOME DEPOT #6568 MANSFIELD TX | VERIFY: GP/Mansfield HD - STR or personal?</t>
        </is>
      </c>
      <c r="F35" s="33" t="n">
        <v>-35.98</v>
      </c>
      <c r="G35" s="32" t="inlineStr">
        <is>
          <t>Robinhood CC</t>
        </is>
      </c>
      <c r="H35" s="32" t="inlineStr">
        <is>
          <t>CC</t>
        </is>
      </c>
      <c r="I35" s="32" t="inlineStr">
        <is>
          <t>Review</t>
        </is>
      </c>
    </row>
    <row r="36">
      <c r="A36" s="3" t="n">
        <v>46060</v>
      </c>
      <c r="B36" s="2">
        <f>IF(A36="","",TEXT(A36,"MMM YYYY"))</f>
        <v/>
      </c>
      <c r="C36" s="2" t="inlineStr">
        <is>
          <t>Repairs &amp; maintenance</t>
        </is>
      </c>
      <c r="D36" s="2" t="inlineStr">
        <is>
          <t>Capps True Value Hardware and Ag Center</t>
        </is>
      </c>
      <c r="E36" s="2" t="inlineStr">
        <is>
          <t>CAPPS TRUE VALUE FAIRFIELD TX</t>
        </is>
      </c>
      <c r="F36" s="4" t="n">
        <v>14.07</v>
      </c>
      <c r="G36" s="2" t="inlineStr">
        <is>
          <t>Robinhood CC</t>
        </is>
      </c>
      <c r="H36" s="2" t="inlineStr">
        <is>
          <t>CC</t>
        </is>
      </c>
      <c r="I36" s="2" t="inlineStr">
        <is>
          <t>Business</t>
        </is>
      </c>
    </row>
    <row r="37">
      <c r="A37" s="31" t="n">
        <v>46061</v>
      </c>
      <c r="B37" s="32">
        <f>IF(A37="","",TEXT(A37,"MMM YYYY"))</f>
        <v/>
      </c>
      <c r="C37" s="32" t="inlineStr">
        <is>
          <t>Repairs &amp; maintenance</t>
        </is>
      </c>
      <c r="D37" s="32" t="inlineStr">
        <is>
          <t>Home Depot</t>
        </is>
      </c>
      <c r="E37" s="32" t="inlineStr">
        <is>
          <t>HOMEDEPOT.COM 800-430-3376 GA | VERIFY: GP/Mansfield HD - STR or personal?</t>
        </is>
      </c>
      <c r="F37" s="33" t="n">
        <v>39.98</v>
      </c>
      <c r="G37" s="32" t="inlineStr">
        <is>
          <t>Robinhood CC</t>
        </is>
      </c>
      <c r="H37" s="32" t="inlineStr">
        <is>
          <t>CC</t>
        </is>
      </c>
      <c r="I37" s="32" t="inlineStr">
        <is>
          <t>Review</t>
        </is>
      </c>
    </row>
    <row r="38">
      <c r="A38" s="3" t="n">
        <v>46063</v>
      </c>
      <c r="B38" s="2">
        <f>IF(A38="","",TEXT(A38,"MMM YYYY"))</f>
        <v/>
      </c>
      <c r="C38" s="2" t="inlineStr">
        <is>
          <t>Repairs &amp; maintenance</t>
        </is>
      </c>
      <c r="D38" s="2" t="inlineStr">
        <is>
          <t>Refund: Home Depot</t>
        </is>
      </c>
      <c r="E38" s="2" t="inlineStr">
        <is>
          <t>REFUND: THE HOME DEPOT #6817 CORSICANA TX</t>
        </is>
      </c>
      <c r="F38" s="4" t="n">
        <v>-449</v>
      </c>
      <c r="G38" s="2" t="inlineStr">
        <is>
          <t>Robinhood CC</t>
        </is>
      </c>
      <c r="H38" s="2" t="inlineStr">
        <is>
          <t>CC</t>
        </is>
      </c>
      <c r="I38" s="2" t="inlineStr">
        <is>
          <t>Business</t>
        </is>
      </c>
    </row>
    <row r="39">
      <c r="A39" s="3" t="n">
        <v>46063</v>
      </c>
      <c r="B39" s="2">
        <f>IF(A39="","",TEXT(A39,"MMM YYYY"))</f>
        <v/>
      </c>
      <c r="C39" s="2" t="inlineStr">
        <is>
          <t>Repairs &amp; maintenance</t>
        </is>
      </c>
      <c r="D39" s="2" t="inlineStr">
        <is>
          <t>Refund: Home Depot</t>
        </is>
      </c>
      <c r="E39" s="2" t="inlineStr">
        <is>
          <t>REFUND: THE HOME DEPOT #6817 CORSICANA TX</t>
        </is>
      </c>
      <c r="F39" s="4" t="n">
        <v>-373</v>
      </c>
      <c r="G39" s="2" t="inlineStr">
        <is>
          <t>Robinhood CC</t>
        </is>
      </c>
      <c r="H39" s="2" t="inlineStr">
        <is>
          <t>CC</t>
        </is>
      </c>
      <c r="I39" s="2" t="inlineStr">
        <is>
          <t>Business</t>
        </is>
      </c>
    </row>
    <row r="40">
      <c r="A40" s="3" t="n">
        <v>46063</v>
      </c>
      <c r="B40" s="2">
        <f>IF(A40="","",TEXT(A40,"MMM YYYY"))</f>
        <v/>
      </c>
      <c r="C40" s="2" t="inlineStr">
        <is>
          <t>Repairs &amp; maintenance</t>
        </is>
      </c>
      <c r="D40" s="2" t="inlineStr">
        <is>
          <t>Refund: Home Depot</t>
        </is>
      </c>
      <c r="E40" s="2" t="inlineStr">
        <is>
          <t>REFUND: THE HOME DEPOT #6817 CORSICANA TX</t>
        </is>
      </c>
      <c r="F40" s="4" t="n">
        <v>-69.95999999999999</v>
      </c>
      <c r="G40" s="2" t="inlineStr">
        <is>
          <t>Robinhood CC</t>
        </is>
      </c>
      <c r="H40" s="2" t="inlineStr">
        <is>
          <t>CC</t>
        </is>
      </c>
      <c r="I40" s="2" t="inlineStr">
        <is>
          <t>Business</t>
        </is>
      </c>
    </row>
    <row r="41">
      <c r="A41" s="3" t="n">
        <v>46063</v>
      </c>
      <c r="B41" s="2">
        <f>IF(A41="","",TEXT(A41,"MMM YYYY"))</f>
        <v/>
      </c>
      <c r="C41" s="2" t="inlineStr">
        <is>
          <t>Repairs &amp; maintenance</t>
        </is>
      </c>
      <c r="D41" s="2" t="inlineStr">
        <is>
          <t>Home Depot</t>
        </is>
      </c>
      <c r="E41" s="2" t="inlineStr">
        <is>
          <t>THE HOME DEPOT 6817 CORSICANA TX</t>
        </is>
      </c>
      <c r="F41" s="4" t="n">
        <v>281.82</v>
      </c>
      <c r="G41" s="2" t="inlineStr">
        <is>
          <t>Robinhood CC</t>
        </is>
      </c>
      <c r="H41" s="2" t="inlineStr">
        <is>
          <t>CC</t>
        </is>
      </c>
      <c r="I41" s="2" t="inlineStr">
        <is>
          <t>Business</t>
        </is>
      </c>
    </row>
    <row r="42">
      <c r="A42" s="3" t="n">
        <v>46067</v>
      </c>
      <c r="B42" s="2">
        <f>IF(A42="","",TEXT(A42,"MMM YYYY"))</f>
        <v/>
      </c>
      <c r="C42" s="2" t="inlineStr">
        <is>
          <t>Travel</t>
        </is>
      </c>
      <c r="D42" s="2" t="inlineStr">
        <is>
          <t>Wendy's</t>
        </is>
      </c>
      <c r="E42" s="2" t="inlineStr">
        <is>
          <t>Travel meals/fuel - Wendy's | Trip to Fairfield</t>
        </is>
      </c>
      <c r="F42" s="4" t="n">
        <v>18.38</v>
      </c>
      <c r="G42" s="2" t="inlineStr">
        <is>
          <t>Robinhood CC</t>
        </is>
      </c>
      <c r="H42" s="2" t="inlineStr">
        <is>
          <t>CC</t>
        </is>
      </c>
      <c r="I42" s="2" t="inlineStr">
        <is>
          <t>Business</t>
        </is>
      </c>
    </row>
    <row r="43">
      <c r="A43" s="31" t="n">
        <v>46069</v>
      </c>
      <c r="B43" s="32">
        <f>IF(A43="","",TEXT(A43,"MMM YYYY"))</f>
        <v/>
      </c>
      <c r="C43" s="32" t="inlineStr">
        <is>
          <t>Repairs &amp; maintenance</t>
        </is>
      </c>
      <c r="D43" s="32" t="inlineStr">
        <is>
          <t>Refund: Home Depot</t>
        </is>
      </c>
      <c r="E43" s="32" t="inlineStr">
        <is>
          <t>REFUND: THE HOME DEPOT #8517 GRAND PRAIRIETX | VERIFY: GP/Mansfield HD - STR or personal?</t>
        </is>
      </c>
      <c r="F43" s="33" t="n">
        <v>-111.06</v>
      </c>
      <c r="G43" s="32" t="inlineStr">
        <is>
          <t>Robinhood CC</t>
        </is>
      </c>
      <c r="H43" s="32" t="inlineStr">
        <is>
          <t>CC</t>
        </is>
      </c>
      <c r="I43" s="32" t="inlineStr">
        <is>
          <t>Review</t>
        </is>
      </c>
    </row>
    <row r="44">
      <c r="A44" s="31" t="n">
        <v>46069</v>
      </c>
      <c r="B44" s="32">
        <f>IF(A44="","",TEXT(A44,"MMM YYYY"))</f>
        <v/>
      </c>
      <c r="C44" s="32" t="inlineStr">
        <is>
          <t>Repairs &amp; maintenance</t>
        </is>
      </c>
      <c r="D44" s="32" t="inlineStr">
        <is>
          <t>Refund: Home Depot</t>
        </is>
      </c>
      <c r="E44" s="32" t="inlineStr">
        <is>
          <t>REFUND: THE HOME DEPOT #8517 GRAND PRAIRIETX | VERIFY: GP/Mansfield HD - STR or personal?</t>
        </is>
      </c>
      <c r="F44" s="33" t="n">
        <v>-159</v>
      </c>
      <c r="G44" s="32" t="inlineStr">
        <is>
          <t>Robinhood CC</t>
        </is>
      </c>
      <c r="H44" s="32" t="inlineStr">
        <is>
          <t>CC</t>
        </is>
      </c>
      <c r="I44" s="32" t="inlineStr">
        <is>
          <t>Review</t>
        </is>
      </c>
    </row>
    <row r="45">
      <c r="A45" s="31" t="n">
        <v>46069</v>
      </c>
      <c r="B45" s="32">
        <f>IF(A45="","",TEXT(A45,"MMM YYYY"))</f>
        <v/>
      </c>
      <c r="C45" s="32" t="inlineStr">
        <is>
          <t>Repairs &amp; maintenance</t>
        </is>
      </c>
      <c r="D45" s="32" t="inlineStr">
        <is>
          <t>Refund: Home Depot</t>
        </is>
      </c>
      <c r="E45" s="32" t="inlineStr">
        <is>
          <t>REFUND: THE HOME DEPOT #8517 GRAND PRAIRIETX | VERIFY: GP/Mansfield HD - STR or personal?</t>
        </is>
      </c>
      <c r="F45" s="33" t="n">
        <v>-24.82</v>
      </c>
      <c r="G45" s="32" t="inlineStr">
        <is>
          <t>Robinhood CC</t>
        </is>
      </c>
      <c r="H45" s="32" t="inlineStr">
        <is>
          <t>CC</t>
        </is>
      </c>
      <c r="I45" s="32" t="inlineStr">
        <is>
          <t>Review</t>
        </is>
      </c>
    </row>
    <row r="46">
      <c r="A46" s="3" t="n">
        <v>46076</v>
      </c>
      <c r="B46" s="2">
        <f>IF(A46="","",TEXT(A46,"MMM YYYY"))</f>
        <v/>
      </c>
      <c r="C46" s="2" t="inlineStr">
        <is>
          <t>Utilities</t>
        </is>
      </c>
      <c r="D46" s="2" t="inlineStr">
        <is>
          <t>Gexa Energy</t>
        </is>
      </c>
      <c r="E46" s="2" t="inlineStr">
        <is>
          <t>GEXA ENERGY 866-329-4392 TX | Electric</t>
        </is>
      </c>
      <c r="F46" s="4" t="n">
        <v>94.90000000000001</v>
      </c>
      <c r="G46" s="2" t="inlineStr">
        <is>
          <t>Robinhood CC</t>
        </is>
      </c>
      <c r="H46" s="2" t="inlineStr">
        <is>
          <t>CC</t>
        </is>
      </c>
      <c r="I46" s="2" t="inlineStr">
        <is>
          <t>Business</t>
        </is>
      </c>
    </row>
    <row r="47">
      <c r="A47" s="31" t="n">
        <v>46079</v>
      </c>
      <c r="B47" s="32">
        <f>IF(A47="","",TEXT(A47,"MMM YYYY"))</f>
        <v/>
      </c>
      <c r="C47" s="32" t="inlineStr">
        <is>
          <t>Repairs &amp; maintenance</t>
        </is>
      </c>
      <c r="D47" s="32" t="inlineStr">
        <is>
          <t>Home Depot</t>
        </is>
      </c>
      <c r="E47" s="32" t="inlineStr">
        <is>
          <t>HOMEDEPOT.COM 800-430-3376 GA | VERIFY: GP/Mansfield HD - STR or personal?</t>
        </is>
      </c>
      <c r="F47" s="33" t="n">
        <v>199</v>
      </c>
      <c r="G47" s="32" t="inlineStr">
        <is>
          <t>Robinhood CC</t>
        </is>
      </c>
      <c r="H47" s="32" t="inlineStr">
        <is>
          <t>CC</t>
        </is>
      </c>
      <c r="I47" s="32" t="inlineStr">
        <is>
          <t>Review</t>
        </is>
      </c>
    </row>
    <row r="48">
      <c r="A48" s="31" t="n">
        <v>46084</v>
      </c>
      <c r="B48" s="32">
        <f>IF(A48="","",TEXT(A48,"MMM YYYY"))</f>
        <v/>
      </c>
      <c r="C48" s="32" t="inlineStr">
        <is>
          <t>Repairs &amp; maintenance</t>
        </is>
      </c>
      <c r="D48" s="32" t="inlineStr">
        <is>
          <t>Home Depot</t>
        </is>
      </c>
      <c r="E48" s="32" t="inlineStr">
        <is>
          <t>THE HOME DEPOT #8517 GRAND PRAIRIETX | VERIFY: GP/Mansfield HD - STR or personal?</t>
        </is>
      </c>
      <c r="F48" s="33" t="n">
        <v>38.7</v>
      </c>
      <c r="G48" s="32" t="inlineStr">
        <is>
          <t>Robinhood CC</t>
        </is>
      </c>
      <c r="H48" s="32" t="inlineStr">
        <is>
          <t>CC</t>
        </is>
      </c>
      <c r="I48" s="32" t="inlineStr">
        <is>
          <t>Review</t>
        </is>
      </c>
    </row>
    <row r="49">
      <c r="A49" s="31" t="n">
        <v>46084</v>
      </c>
      <c r="B49" s="32">
        <f>IF(A49="","",TEXT(A49,"MMM YYYY"))</f>
        <v/>
      </c>
      <c r="C49" s="32" t="inlineStr">
        <is>
          <t>Repairs &amp; maintenance</t>
        </is>
      </c>
      <c r="D49" s="32" t="inlineStr">
        <is>
          <t>Refund: Home Depot</t>
        </is>
      </c>
      <c r="E49" s="32" t="inlineStr">
        <is>
          <t>REFUND: THE HOME DEPOT #8517 GRAND PRAIRIETX | VERIFY: GP/Mansfield HD - STR or personal?</t>
        </is>
      </c>
      <c r="F49" s="33" t="n">
        <v>-114.21</v>
      </c>
      <c r="G49" s="32" t="inlineStr">
        <is>
          <t>Robinhood CC</t>
        </is>
      </c>
      <c r="H49" s="32" t="inlineStr">
        <is>
          <t>CC</t>
        </is>
      </c>
      <c r="I49" s="32" t="inlineStr">
        <is>
          <t>Review</t>
        </is>
      </c>
    </row>
    <row r="50">
      <c r="A50" s="3" t="n">
        <v>46085</v>
      </c>
      <c r="B50" s="2">
        <f>IF(A50="","",TEXT(A50,"MMM YYYY"))</f>
        <v/>
      </c>
      <c r="C50" s="2" t="inlineStr">
        <is>
          <t>Travel</t>
        </is>
      </c>
      <c r="D50" s="2" t="inlineStr">
        <is>
          <t>Love's Travel Stop</t>
        </is>
      </c>
      <c r="E50" s="2" t="inlineStr">
        <is>
          <t>Travel meals/fuel - Love's Travel Stop | Trip to Fairfield</t>
        </is>
      </c>
      <c r="F50" s="4" t="n">
        <v>70.43000000000001</v>
      </c>
      <c r="G50" s="2" t="inlineStr">
        <is>
          <t>Robinhood CC</t>
        </is>
      </c>
      <c r="H50" s="2" t="inlineStr">
        <is>
          <t>CC</t>
        </is>
      </c>
      <c r="I50" s="2" t="inlineStr">
        <is>
          <t>Business</t>
        </is>
      </c>
    </row>
    <row r="51">
      <c r="A51" s="3" t="n">
        <v>46090</v>
      </c>
      <c r="B51" s="2">
        <f>IF(A51="","",TEXT(A51,"MMM YYYY"))</f>
        <v/>
      </c>
      <c r="C51" s="2" t="inlineStr">
        <is>
          <t>Supplies</t>
        </is>
      </c>
      <c r="D51" s="2" t="inlineStr">
        <is>
          <t>Brookshire Brothers</t>
        </is>
      </c>
      <c r="E51" s="2" t="inlineStr">
        <is>
          <t>BROOKSHIRE BROS #10 FAIRFIELD TX | Property supplies</t>
        </is>
      </c>
      <c r="F51" s="4" t="n">
        <v>149.49</v>
      </c>
      <c r="G51" s="2" t="inlineStr">
        <is>
          <t>Robinhood CC</t>
        </is>
      </c>
      <c r="H51" s="2" t="inlineStr">
        <is>
          <t>CC</t>
        </is>
      </c>
      <c r="I51" s="2" t="inlineStr">
        <is>
          <t>Business</t>
        </is>
      </c>
    </row>
    <row r="52">
      <c r="A52" s="3" t="n">
        <v>46090</v>
      </c>
      <c r="B52" s="2">
        <f>IF(A52="","",TEXT(A52,"MMM YYYY"))</f>
        <v/>
      </c>
      <c r="C52" s="2" t="inlineStr">
        <is>
          <t>Repairs &amp; maintenance</t>
        </is>
      </c>
      <c r="D52" s="2" t="inlineStr">
        <is>
          <t>Ace Home Center</t>
        </is>
      </c>
      <c r="E52" s="2" t="inlineStr">
        <is>
          <t>ACE HOME CENTER FAIRFIELD TX</t>
        </is>
      </c>
      <c r="F52" s="4" t="n">
        <v>59.57</v>
      </c>
      <c r="G52" s="2" t="inlineStr">
        <is>
          <t>Robinhood CC</t>
        </is>
      </c>
      <c r="H52" s="2" t="inlineStr">
        <is>
          <t>CC</t>
        </is>
      </c>
      <c r="I52" s="2" t="inlineStr">
        <is>
          <t>Business</t>
        </is>
      </c>
    </row>
    <row r="53">
      <c r="A53" s="3" t="n">
        <v>46098</v>
      </c>
      <c r="B53" s="2">
        <f>IF(A53="","",TEXT(A53,"MMM YYYY"))</f>
        <v/>
      </c>
      <c r="C53" s="2" t="inlineStr">
        <is>
          <t>Repairs &amp; maintenance</t>
        </is>
      </c>
      <c r="D53" s="2" t="inlineStr">
        <is>
          <t>Ace Home Center</t>
        </is>
      </c>
      <c r="E53" s="2" t="inlineStr">
        <is>
          <t>ACE HOME CENTER FAIRFIELD TX</t>
        </is>
      </c>
      <c r="F53" s="4" t="n">
        <v>19.98</v>
      </c>
      <c r="G53" s="2" t="inlineStr">
        <is>
          <t>Robinhood CC</t>
        </is>
      </c>
      <c r="H53" s="2" t="inlineStr">
        <is>
          <t>CC</t>
        </is>
      </c>
      <c r="I53" s="2" t="inlineStr">
        <is>
          <t>Business</t>
        </is>
      </c>
    </row>
    <row r="54">
      <c r="A54" s="3" t="n">
        <v>46100</v>
      </c>
      <c r="B54" s="2">
        <f>IF(A54="","",TEXT(A54,"MMM YYYY"))</f>
        <v/>
      </c>
      <c r="C54" s="2" t="inlineStr">
        <is>
          <t>Travel</t>
        </is>
      </c>
      <c r="D54" s="2" t="inlineStr">
        <is>
          <t>El Jimador Mexican Grill 7</t>
        </is>
      </c>
      <c r="E54" s="2" t="inlineStr">
        <is>
          <t>Travel meals/fuel - El Jimador Mexican Grill 7 | Trip to Fairfield</t>
        </is>
      </c>
      <c r="F54" s="4" t="n">
        <v>60</v>
      </c>
      <c r="G54" s="2" t="inlineStr">
        <is>
          <t>Robinhood CC</t>
        </is>
      </c>
      <c r="H54" s="2" t="inlineStr">
        <is>
          <t>CC</t>
        </is>
      </c>
      <c r="I54" s="2" t="inlineStr">
        <is>
          <t>Business</t>
        </is>
      </c>
    </row>
    <row r="55">
      <c r="A55" s="3" t="n">
        <v>46101</v>
      </c>
      <c r="B55" s="2">
        <f>IF(A55="","",TEXT(A55,"MMM YYYY"))</f>
        <v/>
      </c>
      <c r="C55" s="2" t="inlineStr">
        <is>
          <t>Repairs &amp; maintenance</t>
        </is>
      </c>
      <c r="D55" s="2" t="inlineStr">
        <is>
          <t>Refund: Home Depot</t>
        </is>
      </c>
      <c r="E55" s="2" t="inlineStr">
        <is>
          <t>REFUND: THE HOME DEPOT #6817 CORSICANA TX</t>
        </is>
      </c>
      <c r="F55" s="4" t="n">
        <v>-114.35</v>
      </c>
      <c r="G55" s="2" t="inlineStr">
        <is>
          <t>Robinhood CC</t>
        </is>
      </c>
      <c r="H55" s="2" t="inlineStr">
        <is>
          <t>CC</t>
        </is>
      </c>
      <c r="I55" s="2" t="inlineStr">
        <is>
          <t>Business</t>
        </is>
      </c>
    </row>
    <row r="56">
      <c r="A56" s="3" t="n">
        <v>46101</v>
      </c>
      <c r="B56" s="2">
        <f>IF(A56="","",TEXT(A56,"MMM YYYY"))</f>
        <v/>
      </c>
      <c r="C56" s="2" t="inlineStr">
        <is>
          <t>Travel</t>
        </is>
      </c>
      <c r="D56" s="2" t="inlineStr">
        <is>
          <t>Gulf</t>
        </is>
      </c>
      <c r="E56" s="2" t="inlineStr">
        <is>
          <t>Travel meals/fuel - Gulf | Trip to Fairfield</t>
        </is>
      </c>
      <c r="F56" s="4" t="n">
        <v>68.84</v>
      </c>
      <c r="G56" s="2" t="inlineStr">
        <is>
          <t>Robinhood CC</t>
        </is>
      </c>
      <c r="H56" s="2" t="inlineStr">
        <is>
          <t>CC</t>
        </is>
      </c>
      <c r="I56" s="2" t="inlineStr">
        <is>
          <t>Business</t>
        </is>
      </c>
    </row>
    <row r="57">
      <c r="A57" s="3" t="n">
        <v>46106</v>
      </c>
      <c r="B57" s="2">
        <f>IF(A57="","",TEXT(A57,"MMM YYYY"))</f>
        <v/>
      </c>
      <c r="C57" s="2" t="inlineStr">
        <is>
          <t>Travel</t>
        </is>
      </c>
      <c r="D57" s="2" t="inlineStr">
        <is>
          <t>Braum's</t>
        </is>
      </c>
      <c r="E57" s="2" t="inlineStr">
        <is>
          <t>Travel meals/fuel - Braum's | Trip to Fairfield</t>
        </is>
      </c>
      <c r="F57" s="4" t="n">
        <v>3.13</v>
      </c>
      <c r="G57" s="2" t="inlineStr">
        <is>
          <t>Robinhood CC</t>
        </is>
      </c>
      <c r="H57" s="2" t="inlineStr">
        <is>
          <t>CC</t>
        </is>
      </c>
      <c r="I57" s="2" t="inlineStr">
        <is>
          <t>Business</t>
        </is>
      </c>
    </row>
    <row r="58">
      <c r="A58" s="3" t="n">
        <v>46106</v>
      </c>
      <c r="B58" s="2">
        <f>IF(A58="","",TEXT(A58,"MMM YYYY"))</f>
        <v/>
      </c>
      <c r="C58" s="2" t="inlineStr">
        <is>
          <t>Travel</t>
        </is>
      </c>
      <c r="D58" s="2" t="inlineStr">
        <is>
          <t>Braum's</t>
        </is>
      </c>
      <c r="E58" s="2" t="inlineStr">
        <is>
          <t>Travel meals/fuel - Braum's | Trip to Fairfield</t>
        </is>
      </c>
      <c r="F58" s="4" t="n">
        <v>16.98</v>
      </c>
      <c r="G58" s="2" t="inlineStr">
        <is>
          <t>Robinhood CC</t>
        </is>
      </c>
      <c r="H58" s="2" t="inlineStr">
        <is>
          <t>CC</t>
        </is>
      </c>
      <c r="I58" s="2" t="inlineStr">
        <is>
          <t>Business</t>
        </is>
      </c>
    </row>
    <row r="59">
      <c r="A59" s="3" t="n">
        <v>46107</v>
      </c>
      <c r="B59" s="2">
        <f>IF(A59="","",TEXT(A59,"MMM YYYY"))</f>
        <v/>
      </c>
      <c r="C59" s="2" t="inlineStr">
        <is>
          <t>Utilities</t>
        </is>
      </c>
      <c r="D59" s="2" t="inlineStr">
        <is>
          <t>Gexa Energy</t>
        </is>
      </c>
      <c r="E59" s="2" t="inlineStr">
        <is>
          <t>GEXA ENERGY 866-329-4392 TX | Electric</t>
        </is>
      </c>
      <c r="F59" s="4" t="n">
        <v>140.3</v>
      </c>
      <c r="G59" s="2" t="inlineStr">
        <is>
          <t>Robinhood CC</t>
        </is>
      </c>
      <c r="H59" s="2" t="inlineStr">
        <is>
          <t>CC</t>
        </is>
      </c>
      <c r="I59" s="2" t="inlineStr">
        <is>
          <t>Business</t>
        </is>
      </c>
    </row>
    <row r="60">
      <c r="A60" s="3" t="n">
        <v>46107</v>
      </c>
      <c r="B60" s="2">
        <f>IF(A60="","",TEXT(A60,"MMM YYYY"))</f>
        <v/>
      </c>
      <c r="C60" s="2" t="inlineStr">
        <is>
          <t>Travel</t>
        </is>
      </c>
      <c r="D60" s="2" t="inlineStr">
        <is>
          <t>North Texas Tollway Authority</t>
        </is>
      </c>
      <c r="E60" s="2" t="inlineStr">
        <is>
          <t>NTTA ONLINE 972-818-6882 TX | Tolls for property trips</t>
        </is>
      </c>
      <c r="F60" s="4" t="n">
        <v>40</v>
      </c>
      <c r="G60" s="2" t="inlineStr">
        <is>
          <t>Robinhood CC</t>
        </is>
      </c>
      <c r="H60" s="2" t="inlineStr">
        <is>
          <t>CC</t>
        </is>
      </c>
      <c r="I60" s="2" t="inlineStr">
        <is>
          <t>Business</t>
        </is>
      </c>
    </row>
    <row r="61">
      <c r="A61" s="3" t="n">
        <v>46109</v>
      </c>
      <c r="B61" s="2">
        <f>IF(A61="","",TEXT(A61,"MMM YYYY"))</f>
        <v/>
      </c>
      <c r="C61" s="2" t="inlineStr">
        <is>
          <t>Travel</t>
        </is>
      </c>
      <c r="D61" s="2" t="inlineStr">
        <is>
          <t>Discount Tire</t>
        </is>
      </c>
      <c r="E61" s="2" t="inlineStr">
        <is>
          <t>DISCOUNT-TIRE-CO TXD-64 MANSFIELD TX | Tire replacement from property trips</t>
        </is>
      </c>
      <c r="F61" s="4" t="n">
        <v>214.58</v>
      </c>
      <c r="G61" s="2" t="inlineStr">
        <is>
          <t>Robinhood CC</t>
        </is>
      </c>
      <c r="H61" s="2" t="inlineStr">
        <is>
          <t>CC</t>
        </is>
      </c>
      <c r="I61" s="2" t="inlineStr">
        <is>
          <t>Business</t>
        </is>
      </c>
    </row>
    <row r="62">
      <c r="A62" s="3" t="n">
        <v>46112</v>
      </c>
      <c r="B62" s="2">
        <f>IF(A62="","",TEXT(A62,"MMM YYYY"))</f>
        <v/>
      </c>
      <c r="C62" s="2" t="inlineStr">
        <is>
          <t>Professional services</t>
        </is>
      </c>
      <c r="D62" s="2" t="inlineStr">
        <is>
          <t>Intuit</t>
        </is>
      </c>
      <c r="E62" s="2" t="inlineStr">
        <is>
          <t>INTUIT *TURBOTAX 800-446-8848 CA | TurboTax (prorate STR %)</t>
        </is>
      </c>
      <c r="F62" s="4" t="n">
        <v>159.9</v>
      </c>
      <c r="G62" s="2" t="inlineStr">
        <is>
          <t>Robinhood CC</t>
        </is>
      </c>
      <c r="H62" s="2" t="inlineStr">
        <is>
          <t>CC</t>
        </is>
      </c>
      <c r="I62" s="2" t="inlineStr">
        <is>
          <t>Business</t>
        </is>
      </c>
    </row>
    <row r="63">
      <c r="A63" s="3" t="n">
        <v>46113</v>
      </c>
      <c r="B63" s="2">
        <f>IF(A63="","",TEXT(A63,"MMM YYYY"))</f>
        <v/>
      </c>
      <c r="C63" s="2" t="inlineStr">
        <is>
          <t>Travel</t>
        </is>
      </c>
      <c r="D63" s="2" t="inlineStr">
        <is>
          <t>Taco Bell</t>
        </is>
      </c>
      <c r="E63" s="2" t="inlineStr">
        <is>
          <t>Travel meals/fuel - Taco Bell | Trip to Fairfield</t>
        </is>
      </c>
      <c r="F63" s="4" t="n">
        <v>16.67</v>
      </c>
      <c r="G63" s="2" t="inlineStr">
        <is>
          <t>Robinhood CC</t>
        </is>
      </c>
      <c r="H63" s="2" t="inlineStr">
        <is>
          <t>CC</t>
        </is>
      </c>
      <c r="I63" s="2" t="inlineStr">
        <is>
          <t>Business</t>
        </is>
      </c>
    </row>
    <row r="64">
      <c r="A64" s="3" t="n">
        <v>46113</v>
      </c>
      <c r="B64" s="2">
        <f>IF(A64="","",TEXT(A64,"MMM YYYY"))</f>
        <v/>
      </c>
      <c r="C64" s="2" t="inlineStr">
        <is>
          <t>Travel</t>
        </is>
      </c>
      <c r="D64" s="2" t="inlineStr">
        <is>
          <t>Shell</t>
        </is>
      </c>
      <c r="E64" s="2" t="inlineStr">
        <is>
          <t>Travel meals/fuel - Shell | Trip to Fairfield</t>
        </is>
      </c>
      <c r="F64" s="4" t="n">
        <v>61.19</v>
      </c>
      <c r="G64" s="2" t="inlineStr">
        <is>
          <t>Robinhood CC</t>
        </is>
      </c>
      <c r="H64" s="2" t="inlineStr">
        <is>
          <t>CC</t>
        </is>
      </c>
      <c r="I64" s="2" t="inlineStr">
        <is>
          <t>Business</t>
        </is>
      </c>
    </row>
    <row r="65">
      <c r="A65" s="3" t="n">
        <v>46113</v>
      </c>
      <c r="B65" s="2">
        <f>IF(A65="","",TEXT(A65,"MMM YYYY"))</f>
        <v/>
      </c>
      <c r="C65" s="2" t="inlineStr">
        <is>
          <t>Repairs &amp; maintenance</t>
        </is>
      </c>
      <c r="D65" s="2" t="inlineStr">
        <is>
          <t>Home Depot</t>
        </is>
      </c>
      <c r="E65" s="2" t="inlineStr">
        <is>
          <t>THE HOME DEPOT #6817 CORSICANA TX</t>
        </is>
      </c>
      <c r="F65" s="4" t="n">
        <v>19.74</v>
      </c>
      <c r="G65" s="2" t="inlineStr">
        <is>
          <t>Robinhood CC</t>
        </is>
      </c>
      <c r="H65" s="2" t="inlineStr">
        <is>
          <t>CC</t>
        </is>
      </c>
      <c r="I65" s="2" t="inlineStr">
        <is>
          <t>Business</t>
        </is>
      </c>
    </row>
    <row r="66">
      <c r="A66" s="3" t="n">
        <v>46114</v>
      </c>
      <c r="B66" s="2">
        <f>IF(A66="","",TEXT(A66,"MMM YYYY"))</f>
        <v/>
      </c>
      <c r="C66" s="2" t="inlineStr">
        <is>
          <t>Supplies</t>
        </is>
      </c>
      <c r="D66" s="2" t="inlineStr">
        <is>
          <t>Brookshire Brothers</t>
        </is>
      </c>
      <c r="E66" s="2" t="inlineStr">
        <is>
          <t>BROOKSHIRE BROS #10 FAIRFIELD TX | Property supplies</t>
        </is>
      </c>
      <c r="F66" s="4" t="n">
        <v>39.44</v>
      </c>
      <c r="G66" s="2" t="inlineStr">
        <is>
          <t>Robinhood CC</t>
        </is>
      </c>
      <c r="H66" s="2" t="inlineStr">
        <is>
          <t>CC</t>
        </is>
      </c>
      <c r="I66" s="2" t="inlineStr">
        <is>
          <t>Business</t>
        </is>
      </c>
    </row>
    <row r="67">
      <c r="A67" s="3" t="n">
        <v>46114</v>
      </c>
      <c r="B67" s="2">
        <f>IF(A67="","",TEXT(A67,"MMM YYYY"))</f>
        <v/>
      </c>
      <c r="C67" s="2" t="inlineStr">
        <is>
          <t>Supplies</t>
        </is>
      </c>
      <c r="D67" s="2" t="inlineStr">
        <is>
          <t>Brookshire Brothers</t>
        </is>
      </c>
      <c r="E67" s="2" t="inlineStr">
        <is>
          <t>BROOKSHIRE BROS #10 FAIRFIELD TX | Property supplies</t>
        </is>
      </c>
      <c r="F67" s="4" t="n">
        <v>69.77</v>
      </c>
      <c r="G67" s="2" t="inlineStr">
        <is>
          <t>Robinhood CC</t>
        </is>
      </c>
      <c r="H67" s="2" t="inlineStr">
        <is>
          <t>CC</t>
        </is>
      </c>
      <c r="I67" s="2" t="inlineStr">
        <is>
          <t>Business</t>
        </is>
      </c>
    </row>
    <row r="68">
      <c r="A68" s="3" t="n">
        <v>46114</v>
      </c>
      <c r="B68" s="2">
        <f>IF(A68="","",TEXT(A68,"MMM YYYY"))</f>
        <v/>
      </c>
      <c r="C68" s="2" t="inlineStr">
        <is>
          <t>Supplies</t>
        </is>
      </c>
      <c r="D68" s="2" t="inlineStr">
        <is>
          <t>Cooper Farms</t>
        </is>
      </c>
      <c r="E68" s="2" t="inlineStr">
        <is>
          <t>COOPER FARMS COUNTRY STORFAIRFIELD TX</t>
        </is>
      </c>
      <c r="F68" s="4" t="n">
        <v>1.91</v>
      </c>
      <c r="G68" s="2" t="inlineStr">
        <is>
          <t>Robinhood CC</t>
        </is>
      </c>
      <c r="H68" s="2" t="inlineStr">
        <is>
          <t>CC</t>
        </is>
      </c>
      <c r="I68" s="2" t="inlineStr">
        <is>
          <t>Business</t>
        </is>
      </c>
    </row>
    <row r="69">
      <c r="A69" s="3" t="n">
        <v>46114</v>
      </c>
      <c r="B69" s="2">
        <f>IF(A69="","",TEXT(A69,"MMM YYYY"))</f>
        <v/>
      </c>
      <c r="C69" s="2" t="inlineStr">
        <is>
          <t>Travel</t>
        </is>
      </c>
      <c r="D69" s="2" t="inlineStr">
        <is>
          <t>Burger King</t>
        </is>
      </c>
      <c r="E69" s="2" t="inlineStr">
        <is>
          <t>Travel meals/fuel - Burger King | Trip to Fairfield</t>
        </is>
      </c>
      <c r="F69" s="4" t="n">
        <v>5.41</v>
      </c>
      <c r="G69" s="2" t="inlineStr">
        <is>
          <t>Robinhood CC</t>
        </is>
      </c>
      <c r="H69" s="2" t="inlineStr">
        <is>
          <t>CC</t>
        </is>
      </c>
      <c r="I69" s="2" t="inlineStr">
        <is>
          <t>Business</t>
        </is>
      </c>
    </row>
    <row r="70">
      <c r="A70" s="31" t="n">
        <v>46118</v>
      </c>
      <c r="B70" s="32">
        <f>IF(A70="","",TEXT(A70,"MMM YYYY"))</f>
        <v/>
      </c>
      <c r="C70" s="32" t="inlineStr">
        <is>
          <t>Repairs &amp; maintenance</t>
        </is>
      </c>
      <c r="D70" s="32" t="inlineStr">
        <is>
          <t>Home Depot</t>
        </is>
      </c>
      <c r="E70" s="32" t="inlineStr">
        <is>
          <t>THE HOME DEPOT #8517 GRAND PRAIRIETX | VERIFY: GP/Mansfield HD - STR or personal?</t>
        </is>
      </c>
      <c r="F70" s="33" t="n">
        <v>69.75</v>
      </c>
      <c r="G70" s="32" t="inlineStr">
        <is>
          <t>Robinhood CC</t>
        </is>
      </c>
      <c r="H70" s="32" t="inlineStr">
        <is>
          <t>CC</t>
        </is>
      </c>
      <c r="I70" s="32" t="inlineStr">
        <is>
          <t>Review</t>
        </is>
      </c>
    </row>
    <row r="71">
      <c r="A71" s="3" t="n">
        <v>46007</v>
      </c>
      <c r="B71" s="2" t="inlineStr">
        <is>
          <t>December 2025</t>
        </is>
      </c>
      <c r="C71" s="2" t="inlineStr">
        <is>
          <t>Repairs &amp; maintenance</t>
        </is>
      </c>
      <c r="D71" s="2" t="inlineStr">
        <is>
          <t>Jeff Yancey</t>
        </is>
      </c>
      <c r="E71" s="2" t="inlineStr">
        <is>
          <t>Contractor - property work (Fairfield)</t>
        </is>
      </c>
      <c r="F71" s="4" t="n">
        <v>510</v>
      </c>
      <c r="G71" s="2" t="inlineStr">
        <is>
          <t>Zelle (6113)</t>
        </is>
      </c>
      <c r="H71" s="2" t="inlineStr">
        <is>
          <t>CC</t>
        </is>
      </c>
      <c r="I71" s="2" t="inlineStr">
        <is>
          <t>Business</t>
        </is>
      </c>
    </row>
    <row r="72">
      <c r="A72" s="3" t="n">
        <v>46015</v>
      </c>
      <c r="B72" s="2" t="inlineStr">
        <is>
          <t>December 2025</t>
        </is>
      </c>
      <c r="C72" s="2" t="inlineStr">
        <is>
          <t>Repairs &amp; maintenance</t>
        </is>
      </c>
      <c r="D72" s="2" t="inlineStr">
        <is>
          <t>Jeff Yancey</t>
        </is>
      </c>
      <c r="E72" s="2" t="inlineStr">
        <is>
          <t>Contractor - property work (Fairfield)</t>
        </is>
      </c>
      <c r="F72" s="4" t="n">
        <v>700</v>
      </c>
      <c r="G72" s="2" t="inlineStr">
        <is>
          <t>Zelle (6113)</t>
        </is>
      </c>
      <c r="H72" s="2" t="inlineStr">
        <is>
          <t>CC</t>
        </is>
      </c>
      <c r="I72" s="2" t="inlineStr">
        <is>
          <t>Business</t>
        </is>
      </c>
    </row>
    <row r="73">
      <c r="A73" s="3" t="n">
        <v>46034</v>
      </c>
      <c r="B73" s="2" t="inlineStr">
        <is>
          <t>January 2026</t>
        </is>
      </c>
      <c r="C73" s="2" t="inlineStr">
        <is>
          <t>Repairs &amp; maintenance</t>
        </is>
      </c>
      <c r="D73" s="2" t="inlineStr">
        <is>
          <t>Jeff Yancey</t>
        </is>
      </c>
      <c r="E73" s="2" t="inlineStr">
        <is>
          <t>Contractor - property work (Fairfield)</t>
        </is>
      </c>
      <c r="F73" s="4" t="n">
        <v>775</v>
      </c>
      <c r="G73" s="2" t="inlineStr">
        <is>
          <t>Zelle (6113)</t>
        </is>
      </c>
      <c r="H73" s="2" t="inlineStr">
        <is>
          <t>CC</t>
        </is>
      </c>
      <c r="I73" s="2" t="inlineStr">
        <is>
          <t>Business</t>
        </is>
      </c>
    </row>
    <row r="74">
      <c r="A74" s="3" t="n">
        <v>46062</v>
      </c>
      <c r="B74" s="2" t="inlineStr">
        <is>
          <t>February 2026</t>
        </is>
      </c>
      <c r="C74" s="2" t="inlineStr">
        <is>
          <t>Repairs &amp; maintenance</t>
        </is>
      </c>
      <c r="D74" s="2" t="inlineStr">
        <is>
          <t>Jerry Yancey</t>
        </is>
      </c>
      <c r="E74" s="2" t="inlineStr">
        <is>
          <t>Contractor - property work (Fairfield)</t>
        </is>
      </c>
      <c r="F74" s="4" t="n">
        <v>1833.33</v>
      </c>
      <c r="G74" s="2" t="inlineStr">
        <is>
          <t>Zelle (6113)</t>
        </is>
      </c>
      <c r="H74" s="2" t="inlineStr">
        <is>
          <t>CC</t>
        </is>
      </c>
      <c r="I74" s="2" t="inlineStr">
        <is>
          <t>Business</t>
        </is>
      </c>
    </row>
    <row r="75">
      <c r="A75" s="3" t="n">
        <v>46087</v>
      </c>
      <c r="B75" s="2" t="inlineStr">
        <is>
          <t>March 2026</t>
        </is>
      </c>
      <c r="C75" s="2" t="inlineStr">
        <is>
          <t>Repairs &amp; maintenance</t>
        </is>
      </c>
      <c r="D75" s="2" t="inlineStr">
        <is>
          <t>Jerry Yancey</t>
        </is>
      </c>
      <c r="E75" s="2" t="inlineStr">
        <is>
          <t>Contractor - small payment</t>
        </is>
      </c>
      <c r="F75" s="4" t="n">
        <v>6.82</v>
      </c>
      <c r="G75" s="2" t="inlineStr">
        <is>
          <t>Zelle (6113)</t>
        </is>
      </c>
      <c r="H75" s="2" t="inlineStr">
        <is>
          <t>CC</t>
        </is>
      </c>
      <c r="I75" s="2" t="inlineStr">
        <is>
          <t>Business</t>
        </is>
      </c>
    </row>
    <row r="76">
      <c r="A76" s="3" t="n">
        <v>46034</v>
      </c>
      <c r="B76" s="2" t="inlineStr">
        <is>
          <t>January 2026</t>
        </is>
      </c>
      <c r="C76" s="2" t="inlineStr">
        <is>
          <t>Repairs &amp; maintenance</t>
        </is>
      </c>
      <c r="D76" s="2" t="inlineStr">
        <is>
          <t>Jacob Hance</t>
        </is>
      </c>
      <c r="E76" s="2" t="inlineStr">
        <is>
          <t>Contractor - property work</t>
        </is>
      </c>
      <c r="F76" s="4" t="n">
        <v>150</v>
      </c>
      <c r="G76" s="2" t="inlineStr">
        <is>
          <t>Zelle (6113)</t>
        </is>
      </c>
      <c r="H76" s="2" t="inlineStr">
        <is>
          <t>CC</t>
        </is>
      </c>
      <c r="I76" s="2" t="inlineStr">
        <is>
          <t>Business</t>
        </is>
      </c>
    </row>
    <row r="77">
      <c r="A77" s="3" t="n">
        <v>46034</v>
      </c>
      <c r="B77" s="2" t="inlineStr">
        <is>
          <t>January 2026</t>
        </is>
      </c>
      <c r="C77" s="2" t="inlineStr">
        <is>
          <t>Repairs &amp; maintenance</t>
        </is>
      </c>
      <c r="D77" s="2" t="inlineStr">
        <is>
          <t>Jacob Hance</t>
        </is>
      </c>
      <c r="E77" s="2" t="inlineStr">
        <is>
          <t>Contractor - property work</t>
        </is>
      </c>
      <c r="F77" s="4" t="n">
        <v>255</v>
      </c>
      <c r="G77" s="2" t="inlineStr">
        <is>
          <t>Zelle (6113)</t>
        </is>
      </c>
      <c r="H77" s="2" t="inlineStr">
        <is>
          <t>CC</t>
        </is>
      </c>
      <c r="I77" s="2" t="inlineStr">
        <is>
          <t>Business</t>
        </is>
      </c>
    </row>
    <row r="78">
      <c r="A78" s="3" t="n">
        <v>46034</v>
      </c>
      <c r="B78" s="2" t="inlineStr">
        <is>
          <t>January 2026</t>
        </is>
      </c>
      <c r="C78" s="2" t="inlineStr">
        <is>
          <t>Repairs &amp; maintenance</t>
        </is>
      </c>
      <c r="D78" s="2" t="inlineStr">
        <is>
          <t>Jacob Hance</t>
        </is>
      </c>
      <c r="E78" s="2" t="inlineStr">
        <is>
          <t>Contractor - property work</t>
        </is>
      </c>
      <c r="F78" s="4" t="n">
        <v>40</v>
      </c>
      <c r="G78" s="2" t="inlineStr">
        <is>
          <t>Zelle (6113)</t>
        </is>
      </c>
      <c r="H78" s="2" t="inlineStr">
        <is>
          <t>CC</t>
        </is>
      </c>
      <c r="I78" s="2" t="inlineStr">
        <is>
          <t>Business</t>
        </is>
      </c>
    </row>
    <row r="79">
      <c r="A79" s="3" t="n">
        <v>46036</v>
      </c>
      <c r="B79" s="2" t="inlineStr">
        <is>
          <t>January 2026</t>
        </is>
      </c>
      <c r="C79" s="2" t="inlineStr">
        <is>
          <t>Repairs &amp; maintenance</t>
        </is>
      </c>
      <c r="D79" s="2" t="inlineStr">
        <is>
          <t>Jacob Hance</t>
        </is>
      </c>
      <c r="E79" s="2" t="inlineStr">
        <is>
          <t>Contractor - property work</t>
        </is>
      </c>
      <c r="F79" s="4" t="n">
        <v>800</v>
      </c>
      <c r="G79" s="2" t="inlineStr">
        <is>
          <t>Zelle (6113)</t>
        </is>
      </c>
      <c r="H79" s="2" t="inlineStr">
        <is>
          <t>CC</t>
        </is>
      </c>
      <c r="I79" s="2" t="inlineStr">
        <is>
          <t>Business</t>
        </is>
      </c>
    </row>
    <row r="80">
      <c r="A80" s="3" t="n">
        <v>46042</v>
      </c>
      <c r="B80" s="2" t="inlineStr">
        <is>
          <t>January 2026</t>
        </is>
      </c>
      <c r="C80" s="2" t="inlineStr">
        <is>
          <t>Repairs &amp; maintenance</t>
        </is>
      </c>
      <c r="D80" s="2" t="inlineStr">
        <is>
          <t>Jacob Hance</t>
        </is>
      </c>
      <c r="E80" s="2" t="inlineStr">
        <is>
          <t>Contractor - property work</t>
        </is>
      </c>
      <c r="F80" s="4" t="n">
        <v>801</v>
      </c>
      <c r="G80" s="2" t="inlineStr">
        <is>
          <t>Zelle (6113)</t>
        </is>
      </c>
      <c r="H80" s="2" t="inlineStr">
        <is>
          <t>CC</t>
        </is>
      </c>
      <c r="I80" s="2" t="inlineStr">
        <is>
          <t>Business</t>
        </is>
      </c>
    </row>
    <row r="81">
      <c r="A81" s="3" t="n">
        <v>46042</v>
      </c>
      <c r="B81" s="2" t="inlineStr">
        <is>
          <t>January 2026</t>
        </is>
      </c>
      <c r="C81" s="2" t="inlineStr">
        <is>
          <t>Repairs &amp; maintenance</t>
        </is>
      </c>
      <c r="D81" s="2" t="inlineStr">
        <is>
          <t>Jacob Hance</t>
        </is>
      </c>
      <c r="E81" s="2" t="inlineStr">
        <is>
          <t>Contractor - property work</t>
        </is>
      </c>
      <c r="F81" s="4" t="n">
        <v>60</v>
      </c>
      <c r="G81" s="2" t="inlineStr">
        <is>
          <t>Zelle (6113)</t>
        </is>
      </c>
      <c r="H81" s="2" t="inlineStr">
        <is>
          <t>CC</t>
        </is>
      </c>
      <c r="I81" s="2" t="inlineStr">
        <is>
          <t>Business</t>
        </is>
      </c>
    </row>
    <row r="82">
      <c r="A82" s="3" t="n">
        <v>46042</v>
      </c>
      <c r="B82" s="2" t="inlineStr">
        <is>
          <t>January 2026</t>
        </is>
      </c>
      <c r="C82" s="2" t="inlineStr">
        <is>
          <t>Repairs &amp; maintenance</t>
        </is>
      </c>
      <c r="D82" s="2" t="inlineStr">
        <is>
          <t>Jacob Hance</t>
        </is>
      </c>
      <c r="E82" s="2" t="inlineStr">
        <is>
          <t>Contractor - property work</t>
        </is>
      </c>
      <c r="F82" s="4" t="n">
        <v>25</v>
      </c>
      <c r="G82" s="2" t="inlineStr">
        <is>
          <t>Zelle (6113)</t>
        </is>
      </c>
      <c r="H82" s="2" t="inlineStr">
        <is>
          <t>CC</t>
        </is>
      </c>
      <c r="I82" s="2" t="inlineStr">
        <is>
          <t>Business</t>
        </is>
      </c>
    </row>
    <row r="83">
      <c r="A83" s="3" t="n">
        <v>46104</v>
      </c>
      <c r="B83" s="2" t="inlineStr">
        <is>
          <t>March 2026</t>
        </is>
      </c>
      <c r="C83" s="2" t="inlineStr">
        <is>
          <t>Repairs &amp; maintenance</t>
        </is>
      </c>
      <c r="D83" s="2" t="inlineStr">
        <is>
          <t>Adrian/Chance (contractor)</t>
        </is>
      </c>
      <c r="E83" s="2" t="inlineStr">
        <is>
          <t>Contractor - property work</t>
        </is>
      </c>
      <c r="F83" s="4" t="n">
        <v>400</v>
      </c>
      <c r="G83" s="2" t="inlineStr">
        <is>
          <t>Zelle (6113)</t>
        </is>
      </c>
      <c r="H83" s="2" t="inlineStr">
        <is>
          <t>CC</t>
        </is>
      </c>
      <c r="I83" s="2" t="inlineStr">
        <is>
          <t>Business</t>
        </is>
      </c>
    </row>
    <row r="84">
      <c r="A84" s="3" t="n">
        <v>46104</v>
      </c>
      <c r="B84" s="2" t="inlineStr">
        <is>
          <t>March 2026</t>
        </is>
      </c>
      <c r="C84" s="2" t="inlineStr">
        <is>
          <t>Repairs &amp; maintenance</t>
        </is>
      </c>
      <c r="D84" s="2" t="inlineStr">
        <is>
          <t>Adrian/Chance (contractor)</t>
        </is>
      </c>
      <c r="E84" s="2" t="inlineStr">
        <is>
          <t>Contractor - property work</t>
        </is>
      </c>
      <c r="F84" s="4" t="n">
        <v>52.91</v>
      </c>
      <c r="G84" s="2" t="inlineStr">
        <is>
          <t>Zelle (6113)</t>
        </is>
      </c>
      <c r="H84" s="2" t="inlineStr">
        <is>
          <t>CC</t>
        </is>
      </c>
      <c r="I84" s="2" t="inlineStr">
        <is>
          <t>Business</t>
        </is>
      </c>
    </row>
    <row r="85">
      <c r="A85" s="3" t="n">
        <v>46105</v>
      </c>
      <c r="B85" s="2" t="inlineStr">
        <is>
          <t>March 2026</t>
        </is>
      </c>
      <c r="C85" s="2" t="inlineStr">
        <is>
          <t>Repairs &amp; maintenance</t>
        </is>
      </c>
      <c r="D85" s="2" t="inlineStr">
        <is>
          <t>Adrian/Chance (contractor)</t>
        </is>
      </c>
      <c r="E85" s="2" t="inlineStr">
        <is>
          <t>Contractor - property work</t>
        </is>
      </c>
      <c r="F85" s="4" t="n">
        <v>210</v>
      </c>
      <c r="G85" s="2" t="inlineStr">
        <is>
          <t>Zelle (6113)</t>
        </is>
      </c>
      <c r="H85" s="2" t="inlineStr">
        <is>
          <t>CC</t>
        </is>
      </c>
      <c r="I85" s="2" t="inlineStr">
        <is>
          <t>Business</t>
        </is>
      </c>
    </row>
    <row r="86">
      <c r="A86" s="3" t="n">
        <v>46112</v>
      </c>
      <c r="B86" s="2" t="inlineStr">
        <is>
          <t>March 2026</t>
        </is>
      </c>
      <c r="C86" s="2" t="inlineStr">
        <is>
          <t>Repairs &amp; maintenance</t>
        </is>
      </c>
      <c r="D86" s="2" t="inlineStr">
        <is>
          <t>Adrian/Chance (contractor)</t>
        </is>
      </c>
      <c r="E86" s="2" t="inlineStr">
        <is>
          <t>Contractor - property work</t>
        </is>
      </c>
      <c r="F86" s="4" t="n">
        <v>400</v>
      </c>
      <c r="G86" s="2" t="inlineStr">
        <is>
          <t>Zelle (6113)</t>
        </is>
      </c>
      <c r="H86" s="2" t="inlineStr">
        <is>
          <t>CC</t>
        </is>
      </c>
      <c r="I86" s="2" t="inlineStr">
        <is>
          <t>Business</t>
        </is>
      </c>
    </row>
    <row r="87">
      <c r="A87" s="3" t="n">
        <v>46113</v>
      </c>
      <c r="B87" s="2" t="inlineStr">
        <is>
          <t>April 2026</t>
        </is>
      </c>
      <c r="C87" s="2" t="inlineStr">
        <is>
          <t>Repairs &amp; maintenance</t>
        </is>
      </c>
      <c r="D87" s="2" t="inlineStr">
        <is>
          <t>Adrian/Chance (contractor)</t>
        </is>
      </c>
      <c r="E87" s="2" t="inlineStr">
        <is>
          <t>Contractor - property work</t>
        </is>
      </c>
      <c r="F87" s="4" t="n">
        <v>400</v>
      </c>
      <c r="G87" s="2" t="inlineStr">
        <is>
          <t>Zelle (6113)</t>
        </is>
      </c>
      <c r="H87" s="2" t="inlineStr">
        <is>
          <t>CC</t>
        </is>
      </c>
      <c r="I87" s="2" t="inlineStr">
        <is>
          <t>Business</t>
        </is>
      </c>
    </row>
    <row r="88">
      <c r="A88" s="3" t="n">
        <v>46077</v>
      </c>
      <c r="B88" s="2" t="inlineStr">
        <is>
          <t>February 2026</t>
        </is>
      </c>
      <c r="C88" s="2" t="inlineStr">
        <is>
          <t>Utilities</t>
        </is>
      </c>
      <c r="D88" s="2" t="inlineStr">
        <is>
          <t>MAGA Waste LLC</t>
        </is>
      </c>
      <c r="E88" s="2" t="inlineStr">
        <is>
          <t>Trash service - 360 CR</t>
        </is>
      </c>
      <c r="F88" s="4" t="n">
        <v>85</v>
      </c>
      <c r="G88" s="2" t="inlineStr">
        <is>
          <t>ACH (6113)</t>
        </is>
      </c>
      <c r="H88" s="2" t="inlineStr">
        <is>
          <t>CC</t>
        </is>
      </c>
      <c r="I88" s="2" t="inlineStr">
        <is>
          <t>Business</t>
        </is>
      </c>
    </row>
    <row r="89">
      <c r="A89" s="3" t="n">
        <v>46098</v>
      </c>
      <c r="B89" s="2" t="inlineStr">
        <is>
          <t>March 2026</t>
        </is>
      </c>
      <c r="C89" s="2" t="inlineStr">
        <is>
          <t>Utilities</t>
        </is>
      </c>
      <c r="D89" s="2" t="inlineStr">
        <is>
          <t>MAGA Waste LLC</t>
        </is>
      </c>
      <c r="E89" s="2" t="inlineStr">
        <is>
          <t>Trash service - 360 CR</t>
        </is>
      </c>
      <c r="F89" s="4" t="n">
        <v>85</v>
      </c>
      <c r="G89" s="2" t="inlineStr">
        <is>
          <t>ACH (6113)</t>
        </is>
      </c>
      <c r="H89" s="2" t="inlineStr">
        <is>
          <t>CC</t>
        </is>
      </c>
      <c r="I89" s="2" t="inlineStr">
        <is>
          <t>Business</t>
        </is>
      </c>
    </row>
    <row r="90">
      <c r="A90" s="3" t="n">
        <v>46042</v>
      </c>
      <c r="B90" s="2" t="inlineStr">
        <is>
          <t>January 2026</t>
        </is>
      </c>
      <c r="C90" s="2" t="inlineStr">
        <is>
          <t>Utilities</t>
        </is>
      </c>
      <c r="D90" s="2" t="inlineStr">
        <is>
          <t>Thompson Water</t>
        </is>
      </c>
      <c r="E90" s="2" t="inlineStr">
        <is>
          <t>Water service - 360 CR</t>
        </is>
      </c>
      <c r="F90" s="4" t="n">
        <v>100</v>
      </c>
      <c r="G90" s="2" t="inlineStr">
        <is>
          <t>BillPay (6113)</t>
        </is>
      </c>
      <c r="H90" s="2" t="inlineStr">
        <is>
          <t>CC</t>
        </is>
      </c>
      <c r="I90" s="2" t="inlineStr">
        <is>
          <t>Business</t>
        </is>
      </c>
    </row>
    <row r="91">
      <c r="A91" s="3" t="n">
        <v>46090</v>
      </c>
      <c r="B91" s="2" t="inlineStr">
        <is>
          <t>March 2026</t>
        </is>
      </c>
      <c r="C91" s="2" t="inlineStr">
        <is>
          <t>Utilities</t>
        </is>
      </c>
      <c r="D91" s="2" t="inlineStr">
        <is>
          <t>Thompson Water</t>
        </is>
      </c>
      <c r="E91" s="2" t="inlineStr">
        <is>
          <t>Water service - 360 CR</t>
        </is>
      </c>
      <c r="F91" s="4" t="n">
        <v>101</v>
      </c>
      <c r="G91" s="2" t="inlineStr">
        <is>
          <t>BillPay (6113)</t>
        </is>
      </c>
      <c r="H91" s="2" t="inlineStr">
        <is>
          <t>CC</t>
        </is>
      </c>
      <c r="I91" s="2" t="inlineStr">
        <is>
          <t>Business</t>
        </is>
      </c>
    </row>
    <row r="92">
      <c r="A92" s="31" t="n">
        <v>46113</v>
      </c>
      <c r="B92" s="32" t="inlineStr">
        <is>
          <t>April 2026</t>
        </is>
      </c>
      <c r="C92" s="32" t="inlineStr">
        <is>
          <t>Supplies</t>
        </is>
      </c>
      <c r="D92" s="32" t="inlineStr">
        <is>
          <t>Moises (FB Marketplace)</t>
        </is>
      </c>
      <c r="E92" s="32" t="inlineStr">
        <is>
          <t>Furniture/item for STR (probable)</t>
        </is>
      </c>
      <c r="F92" s="33" t="n">
        <v>60</v>
      </c>
      <c r="G92" s="32" t="inlineStr">
        <is>
          <t>Zelle (6113)</t>
        </is>
      </c>
      <c r="H92" s="32" t="inlineStr">
        <is>
          <t>N</t>
        </is>
      </c>
      <c r="I92" s="32" t="inlineStr">
        <is>
          <t>Review</t>
        </is>
      </c>
    </row>
    <row r="93">
      <c r="A93" s="31" t="n">
        <v>46070</v>
      </c>
      <c r="B93" s="32" t="inlineStr">
        <is>
          <t>February 2026</t>
        </is>
      </c>
      <c r="C93" s="32" t="inlineStr">
        <is>
          <t>Supplies</t>
        </is>
      </c>
      <c r="D93" s="32" t="inlineStr">
        <is>
          <t>Santiago Medellin (FB Marketplace)</t>
        </is>
      </c>
      <c r="E93" s="32" t="inlineStr">
        <is>
          <t>Furniture/item for STR (probable)</t>
        </is>
      </c>
      <c r="F93" s="33" t="n">
        <v>50</v>
      </c>
      <c r="G93" s="32" t="inlineStr">
        <is>
          <t>Zelle (6113)</t>
        </is>
      </c>
      <c r="H93" s="32" t="inlineStr">
        <is>
          <t>N</t>
        </is>
      </c>
      <c r="I93" s="32" t="inlineStr">
        <is>
          <t>Review</t>
        </is>
      </c>
    </row>
    <row r="94">
      <c r="A94" s="3" t="n">
        <v>45978</v>
      </c>
      <c r="B94" s="2" t="inlineStr">
        <is>
          <t>November 2025</t>
        </is>
      </c>
      <c r="C94" s="2" t="inlineStr">
        <is>
          <t>Repairs &amp; maintenance</t>
        </is>
      </c>
      <c r="D94" s="2" t="inlineStr">
        <is>
          <t>Jerry Yancey</t>
        </is>
      </c>
      <c r="E94" s="2" t="inlineStr">
        <is>
          <t>Contractor - startup property work</t>
        </is>
      </c>
      <c r="F94" s="4" t="n">
        <v>500</v>
      </c>
      <c r="G94" s="2" t="inlineStr">
        <is>
          <t>Zelle (3125)</t>
        </is>
      </c>
      <c r="H94" s="2" t="inlineStr">
        <is>
          <t>CC</t>
        </is>
      </c>
      <c r="I94" s="2" t="inlineStr">
        <is>
          <t>Business</t>
        </is>
      </c>
    </row>
    <row r="95">
      <c r="A95" s="3" t="n">
        <v>46029</v>
      </c>
      <c r="B95" s="2" t="inlineStr">
        <is>
          <t>January 2026</t>
        </is>
      </c>
      <c r="C95" s="2" t="inlineStr">
        <is>
          <t>Repairs &amp; maintenance</t>
        </is>
      </c>
      <c r="D95" s="2" t="inlineStr">
        <is>
          <t>Jacob Hance</t>
        </is>
      </c>
      <c r="E95" s="2" t="inlineStr">
        <is>
          <t>Contractor - property work</t>
        </is>
      </c>
      <c r="F95" s="4" t="n">
        <v>100</v>
      </c>
      <c r="G95" s="2" t="inlineStr">
        <is>
          <t>Zelle (3125)</t>
        </is>
      </c>
      <c r="H95" s="2" t="inlineStr">
        <is>
          <t>CC</t>
        </is>
      </c>
      <c r="I95" s="2" t="inlineStr">
        <is>
          <t>Business</t>
        </is>
      </c>
    </row>
    <row r="96">
      <c r="A96" s="3" t="n">
        <v>46030</v>
      </c>
      <c r="B96" s="2" t="inlineStr">
        <is>
          <t>January 2026</t>
        </is>
      </c>
      <c r="C96" s="2" t="inlineStr">
        <is>
          <t>Repairs &amp; maintenance</t>
        </is>
      </c>
      <c r="D96" s="2" t="inlineStr">
        <is>
          <t>Jacob Hance</t>
        </is>
      </c>
      <c r="E96" s="2" t="inlineStr">
        <is>
          <t>Contractor - property work</t>
        </is>
      </c>
      <c r="F96" s="4" t="n">
        <v>145</v>
      </c>
      <c r="G96" s="2" t="inlineStr">
        <is>
          <t>Zelle (3125)</t>
        </is>
      </c>
      <c r="H96" s="2" t="inlineStr">
        <is>
          <t>CC</t>
        </is>
      </c>
      <c r="I96" s="2" t="inlineStr">
        <is>
          <t>Business</t>
        </is>
      </c>
    </row>
    <row r="97">
      <c r="A97" s="3" t="n">
        <v>46062</v>
      </c>
      <c r="B97" s="2" t="inlineStr">
        <is>
          <t>February 2026</t>
        </is>
      </c>
      <c r="C97" s="2" t="inlineStr">
        <is>
          <t>Repairs &amp; maintenance</t>
        </is>
      </c>
      <c r="D97" s="2" t="inlineStr">
        <is>
          <t>John Lomas</t>
        </is>
      </c>
      <c r="E97" s="2" t="inlineStr">
        <is>
          <t>Contractor - property work</t>
        </is>
      </c>
      <c r="F97" s="4" t="n">
        <v>75</v>
      </c>
      <c r="G97" s="2" t="inlineStr">
        <is>
          <t>Zelle (3125)</t>
        </is>
      </c>
      <c r="H97" s="2" t="inlineStr">
        <is>
          <t>CC</t>
        </is>
      </c>
      <c r="I97" s="2" t="inlineStr">
        <is>
          <t>Business</t>
        </is>
      </c>
    </row>
    <row r="98">
      <c r="A98" s="3" t="n">
        <v>46064</v>
      </c>
      <c r="B98" s="2" t="inlineStr">
        <is>
          <t>February 2026</t>
        </is>
      </c>
      <c r="C98" s="2" t="inlineStr">
        <is>
          <t>Repairs &amp; maintenance</t>
        </is>
      </c>
      <c r="D98" s="2" t="inlineStr">
        <is>
          <t>John Lomas</t>
        </is>
      </c>
      <c r="E98" s="2" t="inlineStr">
        <is>
          <t>Contractor - property work</t>
        </is>
      </c>
      <c r="F98" s="4" t="n">
        <v>275</v>
      </c>
      <c r="G98" s="2" t="inlineStr">
        <is>
          <t>Zelle (3125)</t>
        </is>
      </c>
      <c r="H98" s="2" t="inlineStr">
        <is>
          <t>CC</t>
        </is>
      </c>
      <c r="I98" s="2" t="inlineStr">
        <is>
          <t>Business</t>
        </is>
      </c>
    </row>
    <row r="99">
      <c r="A99" s="3" t="n">
        <v>46001</v>
      </c>
      <c r="B99" s="2" t="inlineStr">
        <is>
          <t>December 2025</t>
        </is>
      </c>
      <c r="C99" s="2" t="inlineStr">
        <is>
          <t>Repairs &amp; maintenance</t>
        </is>
      </c>
      <c r="D99" s="2" t="inlineStr">
        <is>
          <t>John Flooring</t>
        </is>
      </c>
      <c r="E99" s="2" t="inlineStr">
        <is>
          <t>Flooring work - 360 CR</t>
        </is>
      </c>
      <c r="F99" s="4" t="n">
        <v>300</v>
      </c>
      <c r="G99" s="2" t="inlineStr">
        <is>
          <t>Zelle (3125)</t>
        </is>
      </c>
      <c r="H99" s="2" t="inlineStr">
        <is>
          <t>CC</t>
        </is>
      </c>
      <c r="I99" s="2" t="inlineStr">
        <is>
          <t>Business</t>
        </is>
      </c>
    </row>
    <row r="100">
      <c r="A100" s="3" t="n">
        <v>46105</v>
      </c>
      <c r="B100" s="2" t="inlineStr">
        <is>
          <t>March 2026</t>
        </is>
      </c>
      <c r="C100" s="2" t="inlineStr">
        <is>
          <t>Repairs &amp; maintenance</t>
        </is>
      </c>
      <c r="D100" s="2" t="inlineStr">
        <is>
          <t>Adrian/Chance (contractor)</t>
        </is>
      </c>
      <c r="E100" s="2" t="inlineStr">
        <is>
          <t>Contractor - property work</t>
        </is>
      </c>
      <c r="F100" s="4" t="n">
        <v>50.23</v>
      </c>
      <c r="G100" s="2" t="inlineStr">
        <is>
          <t>Zelle (3125)</t>
        </is>
      </c>
      <c r="H100" s="2" t="inlineStr">
        <is>
          <t>CC</t>
        </is>
      </c>
      <c r="I100" s="2" t="inlineStr">
        <is>
          <t>Business</t>
        </is>
      </c>
    </row>
    <row r="101">
      <c r="A101" s="3" t="n">
        <v>46106</v>
      </c>
      <c r="B101" s="2" t="inlineStr">
        <is>
          <t>March 2026</t>
        </is>
      </c>
      <c r="C101" s="2" t="inlineStr">
        <is>
          <t>Repairs &amp; maintenance</t>
        </is>
      </c>
      <c r="D101" s="2" t="inlineStr">
        <is>
          <t>Adrian/Chance (contractor)</t>
        </is>
      </c>
      <c r="E101" s="2" t="inlineStr">
        <is>
          <t>Contractor - property work</t>
        </is>
      </c>
      <c r="F101" s="4" t="n">
        <v>190</v>
      </c>
      <c r="G101" s="2" t="inlineStr">
        <is>
          <t>Zelle (3125)</t>
        </is>
      </c>
      <c r="H101" s="2" t="inlineStr">
        <is>
          <t>CC</t>
        </is>
      </c>
      <c r="I101" s="2" t="inlineStr">
        <is>
          <t>Business</t>
        </is>
      </c>
    </row>
    <row r="102">
      <c r="A102" s="3" t="n">
        <v>46070</v>
      </c>
      <c r="B102" s="2" t="inlineStr">
        <is>
          <t>February 2026</t>
        </is>
      </c>
      <c r="C102" s="2" t="inlineStr">
        <is>
          <t>Supplies</t>
        </is>
      </c>
      <c r="D102" s="2" t="inlineStr">
        <is>
          <t>FB Marketplace - Sectionals</t>
        </is>
      </c>
      <c r="E102" s="2" t="inlineStr">
        <is>
          <t>Sectional sofa for STR</t>
        </is>
      </c>
      <c r="F102" s="4" t="n">
        <v>300</v>
      </c>
      <c r="G102" s="2" t="inlineStr">
        <is>
          <t>Zelle (3125)</t>
        </is>
      </c>
      <c r="H102" s="2" t="inlineStr">
        <is>
          <t>N</t>
        </is>
      </c>
      <c r="I102" s="2" t="inlineStr">
        <is>
          <t>Business</t>
        </is>
      </c>
    </row>
    <row r="103">
      <c r="A103" s="3" t="n">
        <v>46070</v>
      </c>
      <c r="B103" s="2" t="inlineStr">
        <is>
          <t>February 2026</t>
        </is>
      </c>
      <c r="C103" s="2" t="inlineStr">
        <is>
          <t>Supplies</t>
        </is>
      </c>
      <c r="D103" s="2" t="inlineStr">
        <is>
          <t>FB Marketplace - Sectionals</t>
        </is>
      </c>
      <c r="E103" s="2" t="inlineStr">
        <is>
          <t>Sectional sofa for STR (2nd)</t>
        </is>
      </c>
      <c r="F103" s="4" t="n">
        <v>100</v>
      </c>
      <c r="G103" s="2" t="inlineStr">
        <is>
          <t>Zelle (3125)</t>
        </is>
      </c>
      <c r="H103" s="2" t="inlineStr">
        <is>
          <t>N</t>
        </is>
      </c>
      <c r="I103" s="2" t="inlineStr">
        <is>
          <t>Business</t>
        </is>
      </c>
    </row>
    <row r="104">
      <c r="A104" s="3" t="n">
        <v>46070</v>
      </c>
      <c r="B104" s="2" t="inlineStr">
        <is>
          <t>February 2026</t>
        </is>
      </c>
      <c r="C104" s="2" t="inlineStr">
        <is>
          <t>Supplies</t>
        </is>
      </c>
      <c r="D104" s="2" t="inlineStr">
        <is>
          <t>FB Marketplace - Hutch</t>
        </is>
      </c>
      <c r="E104" s="2" t="inlineStr">
        <is>
          <t>Hutch for STR</t>
        </is>
      </c>
      <c r="F104" s="4" t="n">
        <v>125</v>
      </c>
      <c r="G104" s="2" t="inlineStr">
        <is>
          <t>Zelle (3125)</t>
        </is>
      </c>
      <c r="H104" s="2" t="inlineStr">
        <is>
          <t>N</t>
        </is>
      </c>
      <c r="I104" s="2" t="inlineStr">
        <is>
          <t>Business</t>
        </is>
      </c>
    </row>
    <row r="105">
      <c r="A105" s="3" t="n">
        <v>46070</v>
      </c>
      <c r="B105" s="2" t="inlineStr">
        <is>
          <t>February 2026</t>
        </is>
      </c>
      <c r="C105" s="2" t="inlineStr">
        <is>
          <t>Supplies</t>
        </is>
      </c>
      <c r="D105" s="2" t="inlineStr">
        <is>
          <t>FB Marketplace - Chairs</t>
        </is>
      </c>
      <c r="E105" s="2" t="inlineStr">
        <is>
          <t>Chairs for STR</t>
        </is>
      </c>
      <c r="F105" s="4" t="n">
        <v>25</v>
      </c>
      <c r="G105" s="2" t="inlineStr">
        <is>
          <t>Zelle (3125)</t>
        </is>
      </c>
      <c r="H105" s="2" t="inlineStr">
        <is>
          <t>N</t>
        </is>
      </c>
      <c r="I105" s="2" t="inlineStr">
        <is>
          <t>Business</t>
        </is>
      </c>
    </row>
    <row r="106">
      <c r="A106" s="3" t="n">
        <v>46070</v>
      </c>
      <c r="B106" s="2" t="inlineStr">
        <is>
          <t>February 2026</t>
        </is>
      </c>
      <c r="C106" s="2" t="inlineStr">
        <is>
          <t>Supplies</t>
        </is>
      </c>
      <c r="D106" s="2" t="inlineStr">
        <is>
          <t>FB Marketplace - Patio Chairs</t>
        </is>
      </c>
      <c r="E106" s="2" t="inlineStr">
        <is>
          <t>Patio chairs for STR</t>
        </is>
      </c>
      <c r="F106" s="4" t="n">
        <v>20</v>
      </c>
      <c r="G106" s="2" t="inlineStr">
        <is>
          <t>Zelle (3125)</t>
        </is>
      </c>
      <c r="H106" s="2" t="inlineStr">
        <is>
          <t>N</t>
        </is>
      </c>
      <c r="I106" s="2" t="inlineStr">
        <is>
          <t>Business</t>
        </is>
      </c>
    </row>
    <row r="107">
      <c r="A107" s="3" t="n">
        <v>46070</v>
      </c>
      <c r="B107" s="2" t="inlineStr">
        <is>
          <t>February 2026</t>
        </is>
      </c>
      <c r="C107" s="2" t="inlineStr">
        <is>
          <t>Supplies</t>
        </is>
      </c>
      <c r="D107" s="2" t="inlineStr">
        <is>
          <t>FB Marketplace - Caulk</t>
        </is>
      </c>
      <c r="E107" s="2" t="inlineStr">
        <is>
          <t>Caulk/supplies for STR</t>
        </is>
      </c>
      <c r="F107" s="4" t="n">
        <v>16</v>
      </c>
      <c r="G107" s="2" t="inlineStr">
        <is>
          <t>Zelle (3125)</t>
        </is>
      </c>
      <c r="H107" s="2" t="inlineStr">
        <is>
          <t>N</t>
        </is>
      </c>
      <c r="I107" s="2" t="inlineStr">
        <is>
          <t>Business</t>
        </is>
      </c>
    </row>
    <row r="108">
      <c r="A108" s="3" t="n">
        <v>46013</v>
      </c>
      <c r="B108" s="2" t="inlineStr">
        <is>
          <t>December 2025</t>
        </is>
      </c>
      <c r="C108" s="2" t="inlineStr">
        <is>
          <t>Supplies</t>
        </is>
      </c>
      <c r="D108" s="2" t="inlineStr">
        <is>
          <t>FB Marketplace - Whirlpool</t>
        </is>
      </c>
      <c r="E108" s="2" t="inlineStr">
        <is>
          <t>Whirlpool appliance for STR</t>
        </is>
      </c>
      <c r="F108" s="4" t="n">
        <v>20</v>
      </c>
      <c r="G108" s="2" t="inlineStr">
        <is>
          <t>Zelle (3125)</t>
        </is>
      </c>
      <c r="H108" s="2" t="inlineStr">
        <is>
          <t>N</t>
        </is>
      </c>
      <c r="I108" s="2" t="inlineStr">
        <is>
          <t>Business</t>
        </is>
      </c>
    </row>
    <row r="109">
      <c r="A109" s="3" t="n">
        <v>46015</v>
      </c>
      <c r="B109" s="2" t="inlineStr">
        <is>
          <t>December 2025</t>
        </is>
      </c>
      <c r="C109" s="2" t="inlineStr">
        <is>
          <t>Supplies</t>
        </is>
      </c>
      <c r="D109" s="2" t="inlineStr">
        <is>
          <t>FB Marketplace - Whirlpool</t>
        </is>
      </c>
      <c r="E109" s="2" t="inlineStr">
        <is>
          <t>Whirlpool appliance for STR</t>
        </is>
      </c>
      <c r="F109" s="4" t="n">
        <v>230</v>
      </c>
      <c r="G109" s="2" t="inlineStr">
        <is>
          <t>Zelle (3125)</t>
        </is>
      </c>
      <c r="H109" s="2" t="inlineStr">
        <is>
          <t>N</t>
        </is>
      </c>
      <c r="I109" s="2" t="inlineStr">
        <is>
          <t>Business</t>
        </is>
      </c>
    </row>
    <row r="110">
      <c r="A110" s="3" t="n">
        <v>46015</v>
      </c>
      <c r="B110" s="2" t="inlineStr">
        <is>
          <t>December 2025</t>
        </is>
      </c>
      <c r="C110" s="2" t="inlineStr">
        <is>
          <t>Supplies</t>
        </is>
      </c>
      <c r="D110" s="2" t="inlineStr">
        <is>
          <t>FB Marketplace - Dyson</t>
        </is>
      </c>
      <c r="E110" s="2" t="inlineStr">
        <is>
          <t>Dyson vacuum for STR</t>
        </is>
      </c>
      <c r="F110" s="4" t="n">
        <v>120</v>
      </c>
      <c r="G110" s="2" t="inlineStr">
        <is>
          <t>Zelle (3125)</t>
        </is>
      </c>
      <c r="H110" s="2" t="inlineStr">
        <is>
          <t>N</t>
        </is>
      </c>
      <c r="I110" s="2" t="inlineStr">
        <is>
          <t>Business</t>
        </is>
      </c>
    </row>
    <row r="111">
      <c r="A111" s="3" t="n">
        <v>46083</v>
      </c>
      <c r="B111" s="2" t="inlineStr">
        <is>
          <t>March 2026</t>
        </is>
      </c>
      <c r="C111" s="2" t="inlineStr">
        <is>
          <t>Supplies</t>
        </is>
      </c>
      <c r="D111" s="2" t="inlineStr">
        <is>
          <t>Keng Bed</t>
        </is>
      </c>
      <c r="E111" s="2" t="inlineStr">
        <is>
          <t>Bed for STR</t>
        </is>
      </c>
      <c r="F111" s="4" t="n">
        <v>200</v>
      </c>
      <c r="G111" s="2" t="inlineStr">
        <is>
          <t>Zelle (3125)</t>
        </is>
      </c>
      <c r="H111" s="2" t="inlineStr">
        <is>
          <t>N</t>
        </is>
      </c>
      <c r="I111" s="2" t="inlineStr">
        <is>
          <t>Business</t>
        </is>
      </c>
    </row>
    <row r="112">
      <c r="A112" s="31" t="n">
        <v>46118</v>
      </c>
      <c r="B112" s="32" t="inlineStr">
        <is>
          <t>April 2026</t>
        </is>
      </c>
      <c r="C112" s="32" t="inlineStr">
        <is>
          <t>Supplies</t>
        </is>
      </c>
      <c r="D112" s="32" t="inlineStr">
        <is>
          <t>Brandon Conway (FB Marketplace)</t>
        </is>
      </c>
      <c r="E112" s="32" t="inlineStr">
        <is>
          <t>Furniture for STR (probable)</t>
        </is>
      </c>
      <c r="F112" s="33" t="n">
        <v>100</v>
      </c>
      <c r="G112" s="32" t="inlineStr">
        <is>
          <t>Zelle (3125)</t>
        </is>
      </c>
      <c r="H112" s="32" t="inlineStr">
        <is>
          <t>N</t>
        </is>
      </c>
      <c r="I112" s="32" t="inlineStr">
        <is>
          <t>Review</t>
        </is>
      </c>
    </row>
    <row r="113">
      <c r="A113" s="31" t="n">
        <v>46058</v>
      </c>
      <c r="B113" s="32" t="inlineStr">
        <is>
          <t>February 2026</t>
        </is>
      </c>
      <c r="C113" s="32" t="inlineStr">
        <is>
          <t>Supplies</t>
        </is>
      </c>
      <c r="D113" s="32" t="inlineStr">
        <is>
          <t>John Neel (FB Marketplace)</t>
        </is>
      </c>
      <c r="E113" s="32" t="inlineStr">
        <is>
          <t>Furniture for STR (probable)</t>
        </is>
      </c>
      <c r="F113" s="33" t="n">
        <v>25</v>
      </c>
      <c r="G113" s="32" t="inlineStr">
        <is>
          <t>Zelle (3125)</t>
        </is>
      </c>
      <c r="H113" s="32" t="inlineStr">
        <is>
          <t>N</t>
        </is>
      </c>
      <c r="I113" s="32" t="inlineStr">
        <is>
          <t>Review</t>
        </is>
      </c>
    </row>
    <row r="114">
      <c r="A114" s="31" t="n">
        <v>46065</v>
      </c>
      <c r="B114" s="32" t="inlineStr">
        <is>
          <t>February 2026</t>
        </is>
      </c>
      <c r="C114" s="32" t="inlineStr">
        <is>
          <t>Supplies</t>
        </is>
      </c>
      <c r="D114" s="32" t="inlineStr">
        <is>
          <t>John Neel (FB Marketplace)</t>
        </is>
      </c>
      <c r="E114" s="32" t="inlineStr">
        <is>
          <t>Furniture for STR (probable)</t>
        </is>
      </c>
      <c r="F114" s="33" t="n">
        <v>25</v>
      </c>
      <c r="G114" s="32" t="inlineStr">
        <is>
          <t>Zelle (3125)</t>
        </is>
      </c>
      <c r="H114" s="32" t="inlineStr">
        <is>
          <t>N</t>
        </is>
      </c>
      <c r="I114" s="32" t="inlineStr">
        <is>
          <t>Review</t>
        </is>
      </c>
    </row>
    <row r="115">
      <c r="A115" s="31" t="n">
        <v>46042</v>
      </c>
      <c r="B115" s="32" t="inlineStr">
        <is>
          <t>January 2026</t>
        </is>
      </c>
      <c r="C115" s="32" t="inlineStr">
        <is>
          <t>Supplies</t>
        </is>
      </c>
      <c r="D115" s="32" t="inlineStr">
        <is>
          <t>Lindsey McCoy (FB Marketplace)</t>
        </is>
      </c>
      <c r="E115" s="32" t="inlineStr">
        <is>
          <t>Furniture for STR (probable)</t>
        </is>
      </c>
      <c r="F115" s="33" t="n">
        <v>70</v>
      </c>
      <c r="G115" s="32" t="inlineStr">
        <is>
          <t>Zelle (3125)</t>
        </is>
      </c>
      <c r="H115" s="32" t="inlineStr">
        <is>
          <t>N</t>
        </is>
      </c>
      <c r="I115" s="32" t="inlineStr">
        <is>
          <t>Review</t>
        </is>
      </c>
    </row>
    <row r="116">
      <c r="A116" s="31" t="n">
        <v>46078</v>
      </c>
      <c r="B116" s="32" t="inlineStr">
        <is>
          <t>February 2026</t>
        </is>
      </c>
      <c r="C116" s="32" t="inlineStr">
        <is>
          <t>Supplies</t>
        </is>
      </c>
      <c r="D116" s="32" t="inlineStr">
        <is>
          <t>FB Frozen Jeep Mobile</t>
        </is>
      </c>
      <c r="E116" s="32" t="inlineStr">
        <is>
          <t>Item for STR (probable)</t>
        </is>
      </c>
      <c r="F116" s="33" t="n">
        <v>20</v>
      </c>
      <c r="G116" s="32" t="inlineStr">
        <is>
          <t>Zelle (3125)</t>
        </is>
      </c>
      <c r="H116" s="32" t="inlineStr">
        <is>
          <t>N</t>
        </is>
      </c>
      <c r="I116" s="32" t="inlineStr">
        <is>
          <t>Review</t>
        </is>
      </c>
    </row>
    <row r="117">
      <c r="A117" s="3" t="n">
        <v>46063</v>
      </c>
      <c r="B117" s="2" t="inlineStr">
        <is>
          <t>February 2026</t>
        </is>
      </c>
      <c r="C117" s="2" t="inlineStr">
        <is>
          <t>Supplies</t>
        </is>
      </c>
      <c r="D117" s="2" t="inlineStr">
        <is>
          <t>Ez Go Wheels</t>
        </is>
      </c>
      <c r="E117" s="2" t="inlineStr">
        <is>
          <t>Golf cart for STR property</t>
        </is>
      </c>
      <c r="F117" s="4" t="n">
        <v>140</v>
      </c>
      <c r="G117" s="2" t="inlineStr">
        <is>
          <t>Zelle (3125)</t>
        </is>
      </c>
      <c r="H117" s="2" t="inlineStr">
        <is>
          <t>N</t>
        </is>
      </c>
      <c r="I117" s="2" t="inlineStr">
        <is>
          <t>Business</t>
        </is>
      </c>
    </row>
    <row r="118">
      <c r="A118" s="3" t="n">
        <v>46076</v>
      </c>
      <c r="B118" s="2" t="inlineStr">
        <is>
          <t>February 2026</t>
        </is>
      </c>
      <c r="C118" s="2" t="inlineStr">
        <is>
          <t>Utilities</t>
        </is>
      </c>
      <c r="D118" s="2" t="inlineStr">
        <is>
          <t>Brio Water</t>
        </is>
      </c>
      <c r="E118" s="2" t="inlineStr">
        <is>
          <t>Water delivery - STR</t>
        </is>
      </c>
      <c r="F118" s="4" t="n">
        <v>70</v>
      </c>
      <c r="G118" s="2" t="inlineStr">
        <is>
          <t>Zelle (3125)</t>
        </is>
      </c>
      <c r="H118" s="2" t="inlineStr">
        <is>
          <t>N</t>
        </is>
      </c>
      <c r="I118" s="2" t="inlineStr">
        <is>
          <t>Business</t>
        </is>
      </c>
    </row>
    <row r="119">
      <c r="A119" s="3" t="n">
        <v>45985</v>
      </c>
      <c r="B119" s="2" t="inlineStr">
        <is>
          <t>November 2025</t>
        </is>
      </c>
      <c r="C119" s="2" t="inlineStr">
        <is>
          <t>Repairs &amp; maintenance</t>
        </is>
      </c>
      <c r="D119" s="2" t="inlineStr">
        <is>
          <t>Jeff Yancey (cash)</t>
        </is>
      </c>
      <c r="E119" s="2" t="inlineStr">
        <is>
          <t>Cash payment for contractor work — text messages as evidence</t>
        </is>
      </c>
      <c r="F119" s="4" t="n">
        <v>1200</v>
      </c>
      <c r="G119" s="2" t="inlineStr">
        <is>
          <t>Cash</t>
        </is>
      </c>
      <c r="H119" s="2" t="inlineStr">
        <is>
          <t>N</t>
        </is>
      </c>
      <c r="I119" s="2" t="inlineStr">
        <is>
          <t>Business</t>
        </is>
      </c>
    </row>
    <row r="120">
      <c r="A120" s="31" t="n">
        <v>45985</v>
      </c>
      <c r="B120" s="32" t="inlineStr">
        <is>
          <t>November 2025</t>
        </is>
      </c>
      <c r="C120" s="32" t="inlineStr">
        <is>
          <t>Repairs &amp; maintenance</t>
        </is>
      </c>
      <c r="D120" s="32" t="inlineStr">
        <is>
          <t>Jeff Yancey (cash probable)</t>
        </is>
      </c>
      <c r="E120" s="32" t="inlineStr">
        <is>
          <t>ATM cash — probably Jeff Yancey payment, text msg evidence</t>
        </is>
      </c>
      <c r="F120" s="33" t="n">
        <v>500</v>
      </c>
      <c r="G120" s="32" t="inlineStr">
        <is>
          <t>Cash</t>
        </is>
      </c>
      <c r="H120" s="32" t="inlineStr">
        <is>
          <t>N</t>
        </is>
      </c>
      <c r="I120" s="32" t="inlineStr">
        <is>
          <t>Review</t>
        </is>
      </c>
    </row>
    <row r="121">
      <c r="A121" s="3" t="n">
        <v>45942</v>
      </c>
      <c r="B121" s="2" t="inlineStr">
        <is>
          <t>October 2025</t>
        </is>
      </c>
      <c r="C121" s="2" t="inlineStr">
        <is>
          <t>Utilities</t>
        </is>
      </c>
      <c r="D121" s="2" t="inlineStr">
        <is>
          <t>Starlink</t>
        </is>
      </c>
      <c r="E121" s="2" t="inlineStr">
        <is>
          <t>Starlink dish/equipment purchase</t>
        </is>
      </c>
      <c r="F121" s="4" t="n">
        <v>455.81</v>
      </c>
      <c r="G121" s="2" t="inlineStr">
        <is>
          <t>Chase CC (1047)</t>
        </is>
      </c>
      <c r="H121" s="2" t="inlineStr">
        <is>
          <t>CC</t>
        </is>
      </c>
      <c r="I121" s="2" t="inlineStr">
        <is>
          <t>Business</t>
        </is>
      </c>
    </row>
    <row r="122">
      <c r="A122" s="3" t="n">
        <v>45951</v>
      </c>
      <c r="B122" s="2" t="inlineStr">
        <is>
          <t>October 2025</t>
        </is>
      </c>
      <c r="C122" s="2" t="inlineStr">
        <is>
          <t>Utilities</t>
        </is>
      </c>
      <c r="D122" s="2" t="inlineStr">
        <is>
          <t>Starlink</t>
        </is>
      </c>
      <c r="E122" s="2" t="inlineStr">
        <is>
          <t>Starlink refund/adjustment</t>
        </is>
      </c>
      <c r="F122" s="4" t="n">
        <v>-63.75</v>
      </c>
      <c r="G122" s="2" t="inlineStr">
        <is>
          <t>Chase CC (1047)</t>
        </is>
      </c>
      <c r="H122" s="2" t="inlineStr">
        <is>
          <t>CC</t>
        </is>
      </c>
      <c r="I122" s="2" t="inlineStr">
        <is>
          <t>Business</t>
        </is>
      </c>
    </row>
    <row r="123">
      <c r="A123" s="3" t="n">
        <v>45947</v>
      </c>
      <c r="B123" s="2" t="inlineStr">
        <is>
          <t>October 2025</t>
        </is>
      </c>
      <c r="C123" s="2" t="inlineStr">
        <is>
          <t>Utilities</t>
        </is>
      </c>
      <c r="D123" s="2" t="inlineStr">
        <is>
          <t>Starlink</t>
        </is>
      </c>
      <c r="E123" s="2" t="inlineStr">
        <is>
          <t>Starlink Internet - monthly</t>
        </is>
      </c>
      <c r="F123" s="4" t="n">
        <v>120</v>
      </c>
      <c r="G123" s="2" t="inlineStr">
        <is>
          <t>Chase CC (1047)</t>
        </is>
      </c>
      <c r="H123" s="2" t="inlineStr">
        <is>
          <t>CC</t>
        </is>
      </c>
      <c r="I123" s="2" t="inlineStr">
        <is>
          <t>Business</t>
        </is>
      </c>
    </row>
    <row r="124">
      <c r="A124" s="3" t="n">
        <v>45977</v>
      </c>
      <c r="B124" s="2" t="inlineStr">
        <is>
          <t>November 2025</t>
        </is>
      </c>
      <c r="C124" s="2" t="inlineStr">
        <is>
          <t>Utilities</t>
        </is>
      </c>
      <c r="D124" s="2" t="inlineStr">
        <is>
          <t>Starlink</t>
        </is>
      </c>
      <c r="E124" s="2" t="inlineStr">
        <is>
          <t>Starlink Internet - monthly</t>
        </is>
      </c>
      <c r="F124" s="4" t="n">
        <v>44.45</v>
      </c>
      <c r="G124" s="2" t="inlineStr">
        <is>
          <t>Chase CC (1047)</t>
        </is>
      </c>
      <c r="H124" s="2" t="inlineStr">
        <is>
          <t>CC</t>
        </is>
      </c>
      <c r="I124" s="2" t="inlineStr">
        <is>
          <t>Business</t>
        </is>
      </c>
    </row>
    <row r="125">
      <c r="A125" s="3" t="n">
        <v>45977</v>
      </c>
      <c r="B125" s="2" t="inlineStr">
        <is>
          <t>November 2025</t>
        </is>
      </c>
      <c r="C125" s="2" t="inlineStr">
        <is>
          <t>Utilities</t>
        </is>
      </c>
      <c r="D125" s="2" t="inlineStr">
        <is>
          <t>Starlink</t>
        </is>
      </c>
      <c r="E125" s="2" t="inlineStr">
        <is>
          <t>Starlink Internet - additional charge</t>
        </is>
      </c>
      <c r="F125" s="4" t="n">
        <v>5</v>
      </c>
      <c r="G125" s="2" t="inlineStr">
        <is>
          <t>Chase CC (1047)</t>
        </is>
      </c>
      <c r="H125" s="2" t="inlineStr">
        <is>
          <t>CC</t>
        </is>
      </c>
      <c r="I125" s="2" t="inlineStr">
        <is>
          <t>Business</t>
        </is>
      </c>
    </row>
    <row r="126">
      <c r="A126" s="3" t="n">
        <v>46007</v>
      </c>
      <c r="B126" s="2" t="inlineStr">
        <is>
          <t>December 2025</t>
        </is>
      </c>
      <c r="C126" s="2" t="inlineStr">
        <is>
          <t>Utilities</t>
        </is>
      </c>
      <c r="D126" s="2" t="inlineStr">
        <is>
          <t>Starlink</t>
        </is>
      </c>
      <c r="E126" s="2" t="inlineStr">
        <is>
          <t>Starlink Internet - monthly</t>
        </is>
      </c>
      <c r="F126" s="4" t="n">
        <v>50</v>
      </c>
      <c r="G126" s="2" t="inlineStr">
        <is>
          <t>Chase CC (1047)</t>
        </is>
      </c>
      <c r="H126" s="2" t="inlineStr">
        <is>
          <t>CC</t>
        </is>
      </c>
      <c r="I126" s="2" t="inlineStr">
        <is>
          <t>Business</t>
        </is>
      </c>
    </row>
    <row r="127">
      <c r="A127" s="3" t="n">
        <v>46038</v>
      </c>
      <c r="B127" s="2" t="inlineStr">
        <is>
          <t>January 2026</t>
        </is>
      </c>
      <c r="C127" s="2" t="inlineStr">
        <is>
          <t>Utilities</t>
        </is>
      </c>
      <c r="D127" s="2" t="inlineStr">
        <is>
          <t>Starlink</t>
        </is>
      </c>
      <c r="E127" s="2" t="inlineStr">
        <is>
          <t>Starlink Internet - monthly</t>
        </is>
      </c>
      <c r="F127" s="4" t="n">
        <v>50</v>
      </c>
      <c r="G127" s="2" t="inlineStr">
        <is>
          <t>Chase CC (1047)</t>
        </is>
      </c>
      <c r="H127" s="2" t="inlineStr">
        <is>
          <t>CC</t>
        </is>
      </c>
      <c r="I127" s="2" t="inlineStr">
        <is>
          <t>Business</t>
        </is>
      </c>
    </row>
    <row r="128">
      <c r="A128" s="3" t="n">
        <v>46064</v>
      </c>
      <c r="B128" s="2" t="inlineStr">
        <is>
          <t>February 2026</t>
        </is>
      </c>
      <c r="C128" s="2" t="inlineStr">
        <is>
          <t>Utilities</t>
        </is>
      </c>
      <c r="D128" s="2" t="inlineStr">
        <is>
          <t>Starlink</t>
        </is>
      </c>
      <c r="E128" s="2" t="inlineStr">
        <is>
          <t>Starlink Internet - adjustment</t>
        </is>
      </c>
      <c r="F128" s="4" t="n">
        <v>11.3</v>
      </c>
      <c r="G128" s="2" t="inlineStr">
        <is>
          <t>Chase CC (1047)</t>
        </is>
      </c>
      <c r="H128" s="2" t="inlineStr">
        <is>
          <t>CC</t>
        </is>
      </c>
      <c r="I128" s="2" t="inlineStr">
        <is>
          <t>Business</t>
        </is>
      </c>
    </row>
    <row r="129">
      <c r="A129" s="3" t="n">
        <v>46069</v>
      </c>
      <c r="B129" s="2" t="inlineStr">
        <is>
          <t>February 2026</t>
        </is>
      </c>
      <c r="C129" s="2" t="inlineStr">
        <is>
          <t>Utilities</t>
        </is>
      </c>
      <c r="D129" s="2" t="inlineStr">
        <is>
          <t>Starlink</t>
        </is>
      </c>
      <c r="E129" s="2" t="inlineStr">
        <is>
          <t>Starlink Internet - monthly</t>
        </is>
      </c>
      <c r="F129" s="4" t="n">
        <v>50</v>
      </c>
      <c r="G129" s="2" t="inlineStr">
        <is>
          <t>Chase CC (1047)</t>
        </is>
      </c>
      <c r="H129" s="2" t="inlineStr">
        <is>
          <t>CC</t>
        </is>
      </c>
      <c r="I129" s="2" t="inlineStr">
        <is>
          <t>Business</t>
        </is>
      </c>
    </row>
    <row r="130">
      <c r="A130" s="3" t="n">
        <v>46080</v>
      </c>
      <c r="B130" s="2" t="inlineStr">
        <is>
          <t>February 2026</t>
        </is>
      </c>
      <c r="C130" s="2" t="inlineStr">
        <is>
          <t>Utilities</t>
        </is>
      </c>
      <c r="D130" s="2" t="inlineStr">
        <is>
          <t>Starlink</t>
        </is>
      </c>
      <c r="E130" s="2" t="inlineStr">
        <is>
          <t>Starlink Internet - monthly</t>
        </is>
      </c>
      <c r="F130" s="4" t="n">
        <v>41.04</v>
      </c>
      <c r="G130" s="2" t="inlineStr">
        <is>
          <t>Chase CC (1047)</t>
        </is>
      </c>
      <c r="H130" s="2" t="inlineStr">
        <is>
          <t>CC</t>
        </is>
      </c>
      <c r="I130" s="2" t="inlineStr">
        <is>
          <t>Business</t>
        </is>
      </c>
    </row>
    <row r="131">
      <c r="A131" s="3" t="n">
        <v>46097</v>
      </c>
      <c r="B131" s="2" t="inlineStr">
        <is>
          <t>March 2026</t>
        </is>
      </c>
      <c r="C131" s="2" t="inlineStr">
        <is>
          <t>Utilities</t>
        </is>
      </c>
      <c r="D131" s="2" t="inlineStr">
        <is>
          <t>Starlink</t>
        </is>
      </c>
      <c r="E131" s="2" t="inlineStr">
        <is>
          <t>Starlink Internet - monthly</t>
        </is>
      </c>
      <c r="F131" s="4" t="n">
        <v>120</v>
      </c>
      <c r="G131" s="2" t="inlineStr">
        <is>
          <t>Chase CC (1047)</t>
        </is>
      </c>
      <c r="H131" s="2" t="inlineStr">
        <is>
          <t>CC</t>
        </is>
      </c>
      <c r="I131" s="2" t="inlineStr">
        <is>
          <t>Business</t>
        </is>
      </c>
    </row>
    <row r="132">
      <c r="A132" s="3" t="n">
        <v>46115</v>
      </c>
      <c r="B132" s="2" t="inlineStr">
        <is>
          <t>April 2026</t>
        </is>
      </c>
      <c r="C132" s="2" t="inlineStr">
        <is>
          <t>Utilities</t>
        </is>
      </c>
      <c r="D132" s="2" t="inlineStr">
        <is>
          <t>Starlink</t>
        </is>
      </c>
      <c r="E132" s="2" t="inlineStr">
        <is>
          <t>Starlink Internet - monthly</t>
        </is>
      </c>
      <c r="F132" s="4" t="n">
        <v>47.58</v>
      </c>
      <c r="G132" s="2" t="inlineStr">
        <is>
          <t>Chase CC (1047)</t>
        </is>
      </c>
      <c r="H132" s="2" t="inlineStr">
        <is>
          <t>CC</t>
        </is>
      </c>
      <c r="I132" s="2" t="inlineStr">
        <is>
          <t>Business</t>
        </is>
      </c>
    </row>
    <row r="133">
      <c r="A133" s="31" t="n">
        <v>45944</v>
      </c>
      <c r="B133" s="32" t="inlineStr">
        <is>
          <t>October 2025</t>
        </is>
      </c>
      <c r="C133" s="32" t="inlineStr">
        <is>
          <t>Repairs &amp; maintenance</t>
        </is>
      </c>
      <c r="D133" s="32" t="inlineStr">
        <is>
          <t>Home Depot #6817</t>
        </is>
      </c>
      <c r="E133" s="32" t="inlineStr">
        <is>
          <t>Repairs/supplies (Chase CC, Oct pre-rental)</t>
        </is>
      </c>
      <c r="F133" s="33" t="n">
        <v>186.78</v>
      </c>
      <c r="G133" s="32" t="inlineStr">
        <is>
          <t>Chase CC (1047)</t>
        </is>
      </c>
      <c r="H133" s="32" t="inlineStr">
        <is>
          <t>CC</t>
        </is>
      </c>
      <c r="I133" s="32" t="inlineStr">
        <is>
          <t>Review</t>
        </is>
      </c>
    </row>
    <row r="134">
      <c r="A134" s="31" t="n">
        <v>45958</v>
      </c>
      <c r="B134" s="32" t="inlineStr">
        <is>
          <t>October 2025</t>
        </is>
      </c>
      <c r="C134" s="32" t="inlineStr">
        <is>
          <t>Repairs &amp; maintenance</t>
        </is>
      </c>
      <c r="D134" s="32" t="inlineStr">
        <is>
          <t>Lowe's #01511</t>
        </is>
      </c>
      <c r="E134" s="32" t="inlineStr">
        <is>
          <t>Repairs/supplies (Chase CC, Oct)</t>
        </is>
      </c>
      <c r="F134" s="33" t="n">
        <v>18.91</v>
      </c>
      <c r="G134" s="32" t="inlineStr">
        <is>
          <t>Chase CC (1047)</t>
        </is>
      </c>
      <c r="H134" s="32" t="inlineStr">
        <is>
          <t>CC</t>
        </is>
      </c>
      <c r="I134" s="32" t="inlineStr">
        <is>
          <t>Review</t>
        </is>
      </c>
    </row>
    <row r="135">
      <c r="A135" s="34" t="n">
        <v>45985</v>
      </c>
      <c r="B135" s="35" t="inlineStr">
        <is>
          <t>November 2025</t>
        </is>
      </c>
      <c r="C135" s="35" t="inlineStr">
        <is>
          <t>Supplies</t>
        </is>
      </c>
      <c r="D135" s="35" t="inlineStr">
        <is>
          <t>Golf Carts (2x)</t>
        </is>
      </c>
      <c r="E135" s="35" t="inlineStr">
        <is>
          <t>Two golf carts for STR property — PENDING: need bill of sale to deduct</t>
        </is>
      </c>
      <c r="F135" s="36" t="n">
        <v>2400</v>
      </c>
      <c r="G135" s="35" t="inlineStr">
        <is>
          <t>Cash</t>
        </is>
      </c>
      <c r="H135" s="35" t="inlineStr">
        <is>
          <t>N</t>
        </is>
      </c>
      <c r="I135" s="35" t="inlineStr">
        <is>
          <t>Review</t>
        </is>
      </c>
    </row>
    <row r="136">
      <c r="A136" s="34" t="n">
        <v>45985</v>
      </c>
      <c r="B136" s="35" t="inlineStr">
        <is>
          <t>November 2025</t>
        </is>
      </c>
      <c r="C136" s="35" t="inlineStr">
        <is>
          <t>Other</t>
        </is>
      </c>
      <c r="D136" s="35" t="inlineStr">
        <is>
          <t>Unaccounted Cash</t>
        </is>
      </c>
      <c r="E136" s="35" t="inlineStr">
        <is>
          <t>Remaining from $7,500 cash withdrawal — INVESTIGATE: $1,200 Jeff + $2,400 carts + $500 ATM = $4,100 accounted. This $3,400 is unaccounted. Do NOT report until documented.</t>
        </is>
      </c>
      <c r="F136" s="36" t="n">
        <v>3400</v>
      </c>
      <c r="G136" s="35" t="inlineStr">
        <is>
          <t>Cash</t>
        </is>
      </c>
      <c r="H136" s="35" t="inlineStr">
        <is>
          <t>N</t>
        </is>
      </c>
      <c r="I136" s="35" t="inlineStr">
        <is>
          <t>Review</t>
        </is>
      </c>
    </row>
    <row r="137">
      <c r="A137" s="3" t="n"/>
      <c r="B137" s="2">
        <f>IF(A137="","",TEXT(A137,"MMM YYYY"))</f>
        <v/>
      </c>
      <c r="C137" s="2" t="n"/>
      <c r="D137" s="2" t="n"/>
      <c r="E137" s="2" t="n"/>
      <c r="F137" s="4" t="n"/>
      <c r="G137" s="2" t="n"/>
      <c r="H137" s="2" t="n"/>
      <c r="I137" s="2" t="n"/>
    </row>
    <row r="138">
      <c r="A138" s="3" t="n"/>
      <c r="B138" s="2">
        <f>IF(A138="","",TEXT(A138,"MMM YYYY"))</f>
        <v/>
      </c>
      <c r="C138" s="2" t="n"/>
      <c r="D138" s="2" t="n"/>
      <c r="E138" s="2" t="n"/>
      <c r="F138" s="4" t="n"/>
      <c r="G138" s="2" t="n"/>
      <c r="H138" s="2" t="n"/>
      <c r="I138" s="2" t="n"/>
    </row>
    <row r="139">
      <c r="A139" s="3" t="n"/>
      <c r="B139" s="2">
        <f>IF(A139="","",TEXT(A139,"MMM YYYY"))</f>
        <v/>
      </c>
      <c r="C139" s="2" t="n"/>
      <c r="D139" s="2" t="n"/>
      <c r="E139" s="2" t="n"/>
      <c r="F139" s="4" t="n"/>
      <c r="G139" s="2" t="n"/>
      <c r="H139" s="2" t="n"/>
      <c r="I139" s="2" t="n"/>
    </row>
    <row r="140">
      <c r="A140" s="3" t="n"/>
      <c r="B140" s="2">
        <f>IF(A140="","",TEXT(A140,"MMM YYYY"))</f>
        <v/>
      </c>
      <c r="C140" s="2" t="n"/>
      <c r="D140" s="2" t="n"/>
      <c r="E140" s="2" t="n"/>
      <c r="F140" s="4" t="n"/>
      <c r="G140" s="2" t="n"/>
      <c r="H140" s="2" t="n"/>
      <c r="I140" s="2" t="n"/>
    </row>
    <row r="141">
      <c r="A141" s="3" t="n"/>
      <c r="B141" s="2">
        <f>IF(A141="","",TEXT(A141,"MMM YYYY"))</f>
        <v/>
      </c>
      <c r="C141" s="2" t="n"/>
      <c r="D141" s="2" t="n"/>
      <c r="E141" s="2" t="n"/>
      <c r="F141" s="4" t="n"/>
      <c r="G141" s="2" t="n"/>
      <c r="H141" s="2" t="n"/>
      <c r="I141" s="2" t="n"/>
    </row>
    <row r="142">
      <c r="A142" s="3" t="n"/>
      <c r="B142" s="2">
        <f>IF(A142="","",TEXT(A142,"MMM YYYY"))</f>
        <v/>
      </c>
      <c r="C142" s="2" t="n"/>
      <c r="D142" s="2" t="n"/>
      <c r="E142" s="2" t="n"/>
      <c r="F142" s="4" t="n"/>
      <c r="G142" s="2" t="n"/>
      <c r="H142" s="2" t="n"/>
      <c r="I142" s="2" t="n"/>
    </row>
    <row r="143">
      <c r="A143" s="3" t="n"/>
      <c r="B143" s="2">
        <f>IF(A143="","",TEXT(A143,"MMM YYYY"))</f>
        <v/>
      </c>
      <c r="C143" s="2" t="n"/>
      <c r="D143" s="2" t="n"/>
      <c r="E143" s="2" t="n"/>
      <c r="F143" s="4" t="n"/>
      <c r="G143" s="2" t="n"/>
      <c r="H143" s="2" t="n"/>
      <c r="I143" s="2" t="n"/>
    </row>
    <row r="144">
      <c r="A144" s="3" t="n"/>
      <c r="B144" s="2">
        <f>IF(A144="","",TEXT(A144,"MMM YYYY"))</f>
        <v/>
      </c>
      <c r="C144" s="2" t="n"/>
      <c r="D144" s="2" t="n"/>
      <c r="E144" s="2" t="n"/>
      <c r="F144" s="4" t="n"/>
      <c r="G144" s="2" t="n"/>
      <c r="H144" s="2" t="n"/>
      <c r="I144" s="2" t="n"/>
    </row>
    <row r="145">
      <c r="A145" s="3" t="n"/>
      <c r="B145" s="2">
        <f>IF(A145="","",TEXT(A145,"MMM YYYY"))</f>
        <v/>
      </c>
      <c r="C145" s="2" t="n"/>
      <c r="D145" s="2" t="n"/>
      <c r="E145" s="2" t="n"/>
      <c r="F145" s="4" t="n"/>
      <c r="G145" s="2" t="n"/>
      <c r="H145" s="2" t="n"/>
      <c r="I145" s="2" t="n"/>
    </row>
    <row r="146">
      <c r="A146" s="3" t="n"/>
      <c r="B146" s="2">
        <f>IF(A146="","",TEXT(A146,"MMM YYYY"))</f>
        <v/>
      </c>
      <c r="C146" s="2" t="n"/>
      <c r="D146" s="2" t="n"/>
      <c r="E146" s="2" t="n"/>
      <c r="F146" s="4" t="n"/>
      <c r="G146" s="2" t="n"/>
      <c r="H146" s="2" t="n"/>
      <c r="I146" s="2" t="n"/>
    </row>
    <row r="147">
      <c r="A147" s="3" t="n"/>
      <c r="B147" s="2">
        <f>IF(A147="","",TEXT(A147,"MMM YYYY"))</f>
        <v/>
      </c>
      <c r="C147" s="2" t="n"/>
      <c r="D147" s="2" t="n"/>
      <c r="E147" s="2" t="n"/>
      <c r="F147" s="4" t="n"/>
      <c r="G147" s="2" t="n"/>
      <c r="H147" s="2" t="n"/>
      <c r="I147" s="2" t="n"/>
    </row>
    <row r="148">
      <c r="A148" s="3" t="n"/>
      <c r="B148" s="2">
        <f>IF(A148="","",TEXT(A148,"MMM YYYY"))</f>
        <v/>
      </c>
      <c r="C148" s="2" t="n"/>
      <c r="D148" s="2" t="n"/>
      <c r="E148" s="2" t="n"/>
      <c r="F148" s="4" t="n"/>
      <c r="G148" s="2" t="n"/>
      <c r="H148" s="2" t="n"/>
      <c r="I148" s="2" t="n"/>
    </row>
    <row r="149">
      <c r="A149" s="3" t="n"/>
      <c r="B149" s="2">
        <f>IF(A149="","",TEXT(A149,"MMM YYYY"))</f>
        <v/>
      </c>
      <c r="C149" s="2" t="n"/>
      <c r="D149" s="2" t="n"/>
      <c r="E149" s="2" t="n"/>
      <c r="F149" s="4" t="n"/>
      <c r="G149" s="2" t="n"/>
      <c r="H149" s="2" t="n"/>
      <c r="I149" s="2" t="n"/>
    </row>
    <row r="150">
      <c r="A150" s="3" t="n"/>
      <c r="B150" s="2">
        <f>IF(A150="","",TEXT(A150,"MMM YYYY"))</f>
        <v/>
      </c>
      <c r="C150" s="2" t="n"/>
      <c r="D150" s="2" t="n"/>
      <c r="E150" s="2" t="n"/>
      <c r="F150" s="4" t="n"/>
      <c r="G150" s="2" t="n"/>
      <c r="H150" s="2" t="n"/>
      <c r="I150" s="2" t="n"/>
    </row>
    <row r="151">
      <c r="A151" s="3" t="n"/>
      <c r="B151" s="2">
        <f>IF(A151="","",TEXT(A151,"MMM YYYY"))</f>
        <v/>
      </c>
      <c r="C151" s="2" t="n"/>
      <c r="D151" s="2" t="n"/>
      <c r="E151" s="2" t="n"/>
      <c r="F151" s="4" t="n"/>
      <c r="G151" s="2" t="n"/>
      <c r="H151" s="2" t="n"/>
      <c r="I151" s="2" t="n"/>
    </row>
    <row r="152">
      <c r="A152" s="3" t="n"/>
      <c r="B152" s="2">
        <f>IF(A152="","",TEXT(A152,"MMM YYYY"))</f>
        <v/>
      </c>
      <c r="C152" s="2" t="n"/>
      <c r="D152" s="2" t="n"/>
      <c r="E152" s="2" t="n"/>
      <c r="F152" s="4" t="n"/>
      <c r="G152" s="2" t="n"/>
      <c r="H152" s="2" t="n"/>
      <c r="I152" s="2" t="n"/>
    </row>
    <row r="153">
      <c r="A153" s="3" t="n"/>
      <c r="B153" s="2">
        <f>IF(A153="","",TEXT(A153,"MMM YYYY"))</f>
        <v/>
      </c>
      <c r="C153" s="2" t="n"/>
      <c r="D153" s="2" t="n"/>
      <c r="E153" s="2" t="n"/>
      <c r="F153" s="4" t="n"/>
      <c r="G153" s="2" t="n"/>
      <c r="H153" s="2" t="n"/>
      <c r="I153" s="2" t="n"/>
    </row>
    <row r="154">
      <c r="A154" s="3" t="n"/>
      <c r="B154" s="2">
        <f>IF(A154="","",TEXT(A154,"MMM YYYY"))</f>
        <v/>
      </c>
      <c r="C154" s="2" t="n"/>
      <c r="D154" s="2" t="n"/>
      <c r="E154" s="2" t="n"/>
      <c r="F154" s="4" t="n"/>
      <c r="G154" s="2" t="n"/>
      <c r="H154" s="2" t="n"/>
      <c r="I154" s="2" t="n"/>
    </row>
    <row r="155">
      <c r="A155" s="3" t="n"/>
      <c r="B155" s="2">
        <f>IF(A155="","",TEXT(A155,"MMM YYYY"))</f>
        <v/>
      </c>
      <c r="C155" s="2" t="n"/>
      <c r="D155" s="2" t="n"/>
      <c r="E155" s="2" t="n"/>
      <c r="F155" s="4" t="n"/>
      <c r="G155" s="2" t="n"/>
      <c r="H155" s="2" t="n"/>
      <c r="I155" s="2" t="n"/>
    </row>
    <row r="156">
      <c r="A156" s="3" t="n"/>
      <c r="B156" s="2">
        <f>IF(A156="","",TEXT(A156,"MMM YYYY"))</f>
        <v/>
      </c>
      <c r="C156" s="2" t="n"/>
      <c r="D156" s="2" t="n"/>
      <c r="E156" s="2" t="n"/>
      <c r="F156" s="4" t="n"/>
      <c r="G156" s="2" t="n"/>
      <c r="H156" s="2" t="n"/>
      <c r="I156" s="2" t="n"/>
    </row>
    <row r="157">
      <c r="A157" s="3" t="n"/>
      <c r="B157" s="2">
        <f>IF(A157="","",TEXT(A157,"MMM YYYY"))</f>
        <v/>
      </c>
      <c r="C157" s="2" t="n"/>
      <c r="D157" s="2" t="n"/>
      <c r="E157" s="2" t="n"/>
      <c r="F157" s="4" t="n"/>
      <c r="G157" s="2" t="n"/>
      <c r="H157" s="2" t="n"/>
      <c r="I157" s="2" t="n"/>
    </row>
    <row r="158">
      <c r="A158" s="3" t="n"/>
      <c r="B158" s="2">
        <f>IF(A158="","",TEXT(A158,"MMM YYYY"))</f>
        <v/>
      </c>
      <c r="C158" s="2" t="n"/>
      <c r="D158" s="2" t="n"/>
      <c r="E158" s="2" t="n"/>
      <c r="F158" s="4" t="n"/>
      <c r="G158" s="2" t="n"/>
      <c r="H158" s="2" t="n"/>
      <c r="I158" s="2" t="n"/>
    </row>
    <row r="159">
      <c r="A159" s="3" t="n"/>
      <c r="B159" s="2">
        <f>IF(A159="","",TEXT(A159,"MMM YYYY"))</f>
        <v/>
      </c>
      <c r="C159" s="2" t="n"/>
      <c r="D159" s="2" t="n"/>
      <c r="E159" s="2" t="n"/>
      <c r="F159" s="4" t="n"/>
      <c r="G159" s="2" t="n"/>
      <c r="H159" s="2" t="n"/>
      <c r="I159" s="2" t="n"/>
    </row>
    <row r="160">
      <c r="A160" s="3" t="n"/>
      <c r="B160" s="2">
        <f>IF(A160="","",TEXT(A160,"MMM YYYY"))</f>
        <v/>
      </c>
      <c r="C160" s="2" t="n"/>
      <c r="D160" s="2" t="n"/>
      <c r="E160" s="2" t="n"/>
      <c r="F160" s="4" t="n"/>
      <c r="G160" s="2" t="n"/>
      <c r="H160" s="2" t="n"/>
      <c r="I160" s="2" t="n"/>
    </row>
    <row r="161">
      <c r="A161" s="3" t="n"/>
      <c r="B161" s="2">
        <f>IF(A161="","",TEXT(A161,"MMM YYYY"))</f>
        <v/>
      </c>
      <c r="C161" s="2" t="n"/>
      <c r="D161" s="2" t="n"/>
      <c r="E161" s="2" t="n"/>
      <c r="F161" s="4" t="n"/>
      <c r="G161" s="2" t="n"/>
      <c r="H161" s="2" t="n"/>
      <c r="I161" s="2" t="n"/>
    </row>
    <row r="162">
      <c r="A162" s="3" t="n"/>
      <c r="B162" s="2">
        <f>IF(A162="","",TEXT(A162,"MMM YYYY"))</f>
        <v/>
      </c>
      <c r="C162" s="2" t="n"/>
      <c r="D162" s="2" t="n"/>
      <c r="E162" s="2" t="n"/>
      <c r="F162" s="4" t="n"/>
      <c r="G162" s="2" t="n"/>
      <c r="H162" s="2" t="n"/>
      <c r="I162" s="2" t="n"/>
    </row>
    <row r="163">
      <c r="A163" s="3" t="n"/>
      <c r="B163" s="2">
        <f>IF(A163="","",TEXT(A163,"MMM YYYY"))</f>
        <v/>
      </c>
      <c r="C163" s="2" t="n"/>
      <c r="D163" s="2" t="n"/>
      <c r="E163" s="2" t="n"/>
      <c r="F163" s="4" t="n"/>
      <c r="G163" s="2" t="n"/>
      <c r="H163" s="2" t="n"/>
      <c r="I163" s="2" t="n"/>
    </row>
    <row r="164">
      <c r="A164" s="3" t="n"/>
      <c r="B164" s="2">
        <f>IF(A164="","",TEXT(A164,"MMM YYYY"))</f>
        <v/>
      </c>
      <c r="C164" s="2" t="n"/>
      <c r="D164" s="2" t="n"/>
      <c r="E164" s="2" t="n"/>
      <c r="F164" s="4" t="n"/>
      <c r="G164" s="2" t="n"/>
      <c r="H164" s="2" t="n"/>
      <c r="I164" s="2" t="n"/>
    </row>
    <row r="165">
      <c r="A165" s="3" t="n"/>
      <c r="B165" s="2">
        <f>IF(A165="","",TEXT(A165,"MMM YYYY"))</f>
        <v/>
      </c>
      <c r="C165" s="2" t="n"/>
      <c r="D165" s="2" t="n"/>
      <c r="E165" s="2" t="n"/>
      <c r="F165" s="4" t="n"/>
      <c r="G165" s="2" t="n"/>
      <c r="H165" s="2" t="n"/>
      <c r="I165" s="2" t="n"/>
    </row>
    <row r="166">
      <c r="A166" s="3" t="n"/>
      <c r="B166" s="2">
        <f>IF(A166="","",TEXT(A166,"MMM YYYY"))</f>
        <v/>
      </c>
      <c r="C166" s="2" t="n"/>
      <c r="D166" s="2" t="n"/>
      <c r="E166" s="2" t="n"/>
      <c r="F166" s="4" t="n"/>
      <c r="G166" s="2" t="n"/>
      <c r="H166" s="2" t="n"/>
      <c r="I166" s="2" t="n"/>
    </row>
    <row r="167">
      <c r="A167" s="3" t="n"/>
      <c r="B167" s="2">
        <f>IF(A167="","",TEXT(A167,"MMM YYYY"))</f>
        <v/>
      </c>
      <c r="C167" s="2" t="n"/>
      <c r="D167" s="2" t="n"/>
      <c r="E167" s="2" t="n"/>
      <c r="F167" s="4" t="n"/>
      <c r="G167" s="2" t="n"/>
      <c r="H167" s="2" t="n"/>
      <c r="I167" s="2" t="n"/>
    </row>
    <row r="168">
      <c r="A168" s="3" t="n"/>
      <c r="B168" s="2">
        <f>IF(A168="","",TEXT(A168,"MMM YYYY"))</f>
        <v/>
      </c>
      <c r="C168" s="2" t="n"/>
      <c r="D168" s="2" t="n"/>
      <c r="E168" s="2" t="n"/>
      <c r="F168" s="4" t="n"/>
      <c r="G168" s="2" t="n"/>
      <c r="H168" s="2" t="n"/>
      <c r="I168" s="2" t="n"/>
    </row>
    <row r="169">
      <c r="A169" s="3" t="n"/>
      <c r="B169" s="2">
        <f>IF(A169="","",TEXT(A169,"MMM YYYY"))</f>
        <v/>
      </c>
      <c r="C169" s="2" t="n"/>
      <c r="D169" s="2" t="n"/>
      <c r="E169" s="2" t="n"/>
      <c r="F169" s="4" t="n"/>
      <c r="G169" s="2" t="n"/>
      <c r="H169" s="2" t="n"/>
      <c r="I169" s="2" t="n"/>
    </row>
    <row r="170">
      <c r="A170" s="3" t="n"/>
      <c r="B170" s="2">
        <f>IF(A170="","",TEXT(A170,"MMM YYYY"))</f>
        <v/>
      </c>
      <c r="C170" s="2" t="n"/>
      <c r="D170" s="2" t="n"/>
      <c r="E170" s="2" t="n"/>
      <c r="F170" s="4" t="n"/>
      <c r="G170" s="2" t="n"/>
      <c r="H170" s="2" t="n"/>
      <c r="I170" s="2" t="n"/>
    </row>
    <row r="171">
      <c r="A171" s="3" t="n"/>
      <c r="B171" s="2">
        <f>IF(A171="","",TEXT(A171,"MMM YYYY"))</f>
        <v/>
      </c>
      <c r="C171" s="2" t="n"/>
      <c r="D171" s="2" t="n"/>
      <c r="E171" s="2" t="n"/>
      <c r="F171" s="4" t="n"/>
      <c r="G171" s="2" t="n"/>
      <c r="H171" s="2" t="n"/>
      <c r="I171" s="2" t="n"/>
    </row>
    <row r="172">
      <c r="A172" s="3" t="n"/>
      <c r="B172" s="2">
        <f>IF(A172="","",TEXT(A172,"MMM YYYY"))</f>
        <v/>
      </c>
      <c r="C172" s="2" t="n"/>
      <c r="D172" s="2" t="n"/>
      <c r="E172" s="2" t="n"/>
      <c r="F172" s="4" t="n"/>
      <c r="G172" s="2" t="n"/>
      <c r="H172" s="2" t="n"/>
      <c r="I172" s="2" t="n"/>
    </row>
    <row r="173">
      <c r="A173" s="3" t="n"/>
      <c r="B173" s="2">
        <f>IF(A173="","",TEXT(A173,"MMM YYYY"))</f>
        <v/>
      </c>
      <c r="C173" s="2" t="n"/>
      <c r="D173" s="2" t="n"/>
      <c r="E173" s="2" t="n"/>
      <c r="F173" s="4" t="n"/>
      <c r="G173" s="2" t="n"/>
      <c r="H173" s="2" t="n"/>
      <c r="I173" s="2" t="n"/>
    </row>
    <row r="174">
      <c r="A174" s="3" t="n"/>
      <c r="B174" s="2">
        <f>IF(A174="","",TEXT(A174,"MMM YYYY"))</f>
        <v/>
      </c>
      <c r="C174" s="2" t="n"/>
      <c r="D174" s="2" t="n"/>
      <c r="E174" s="2" t="n"/>
      <c r="F174" s="4" t="n"/>
      <c r="G174" s="2" t="n"/>
      <c r="H174" s="2" t="n"/>
      <c r="I174" s="2" t="n"/>
    </row>
    <row r="175">
      <c r="A175" s="3" t="n"/>
      <c r="B175" s="2">
        <f>IF(A175="","",TEXT(A175,"MMM YYYY"))</f>
        <v/>
      </c>
      <c r="C175" s="2" t="n"/>
      <c r="D175" s="2" t="n"/>
      <c r="E175" s="2" t="n"/>
      <c r="F175" s="4" t="n"/>
      <c r="G175" s="2" t="n"/>
      <c r="H175" s="2" t="n"/>
      <c r="I175" s="2" t="n"/>
    </row>
    <row r="176">
      <c r="A176" s="3" t="n"/>
      <c r="B176" s="2">
        <f>IF(A176="","",TEXT(A176,"MMM YYYY"))</f>
        <v/>
      </c>
      <c r="C176" s="2" t="n"/>
      <c r="D176" s="2" t="n"/>
      <c r="E176" s="2" t="n"/>
      <c r="F176" s="4" t="n"/>
      <c r="G176" s="2" t="n"/>
      <c r="H176" s="2" t="n"/>
      <c r="I176" s="2" t="n"/>
    </row>
    <row r="177">
      <c r="A177" s="3" t="n"/>
      <c r="B177" s="2">
        <f>IF(A177="","",TEXT(A177,"MMM YYYY"))</f>
        <v/>
      </c>
      <c r="C177" s="2" t="n"/>
      <c r="D177" s="2" t="n"/>
      <c r="E177" s="2" t="n"/>
      <c r="F177" s="4" t="n"/>
      <c r="G177" s="2" t="n"/>
      <c r="H177" s="2" t="n"/>
      <c r="I177" s="2" t="n"/>
    </row>
    <row r="178">
      <c r="A178" s="3" t="n"/>
      <c r="B178" s="2">
        <f>IF(A178="","",TEXT(A178,"MMM YYYY"))</f>
        <v/>
      </c>
      <c r="C178" s="2" t="n"/>
      <c r="D178" s="2" t="n"/>
      <c r="E178" s="2" t="n"/>
      <c r="F178" s="4" t="n"/>
      <c r="G178" s="2" t="n"/>
      <c r="H178" s="2" t="n"/>
      <c r="I178" s="2" t="n"/>
    </row>
    <row r="179">
      <c r="A179" s="3" t="n"/>
      <c r="B179" s="2">
        <f>IF(A179="","",TEXT(A179,"MMM YYYY"))</f>
        <v/>
      </c>
      <c r="C179" s="2" t="n"/>
      <c r="D179" s="2" t="n"/>
      <c r="E179" s="2" t="n"/>
      <c r="F179" s="4" t="n"/>
      <c r="G179" s="2" t="n"/>
      <c r="H179" s="2" t="n"/>
      <c r="I179" s="2" t="n"/>
    </row>
    <row r="180">
      <c r="A180" s="3" t="n"/>
      <c r="B180" s="2">
        <f>IF(A180="","",TEXT(A180,"MMM YYYY"))</f>
        <v/>
      </c>
      <c r="C180" s="2" t="n"/>
      <c r="D180" s="2" t="n"/>
      <c r="E180" s="2" t="n"/>
      <c r="F180" s="4" t="n"/>
      <c r="G180" s="2" t="n"/>
      <c r="H180" s="2" t="n"/>
      <c r="I180" s="2" t="n"/>
    </row>
    <row r="181">
      <c r="A181" s="3" t="n"/>
      <c r="B181" s="2">
        <f>IF(A181="","",TEXT(A181,"MMM YYYY"))</f>
        <v/>
      </c>
      <c r="C181" s="2" t="n"/>
      <c r="D181" s="2" t="n"/>
      <c r="E181" s="2" t="n"/>
      <c r="F181" s="4" t="n"/>
      <c r="G181" s="2" t="n"/>
      <c r="H181" s="2" t="n"/>
      <c r="I181" s="2" t="n"/>
    </row>
    <row r="182">
      <c r="A182" s="3" t="n"/>
      <c r="B182" s="2">
        <f>IF(A182="","",TEXT(A182,"MMM YYYY"))</f>
        <v/>
      </c>
      <c r="C182" s="2" t="n"/>
      <c r="D182" s="2" t="n"/>
      <c r="E182" s="2" t="n"/>
      <c r="F182" s="4" t="n"/>
      <c r="G182" s="2" t="n"/>
      <c r="H182" s="2" t="n"/>
      <c r="I182" s="2" t="n"/>
    </row>
    <row r="183">
      <c r="A183" s="3" t="n"/>
      <c r="B183" s="2">
        <f>IF(A183="","",TEXT(A183,"MMM YYYY"))</f>
        <v/>
      </c>
      <c r="C183" s="2" t="n"/>
      <c r="D183" s="2" t="n"/>
      <c r="E183" s="2" t="n"/>
      <c r="F183" s="4" t="n"/>
      <c r="G183" s="2" t="n"/>
      <c r="H183" s="2" t="n"/>
      <c r="I183" s="2" t="n"/>
    </row>
    <row r="184">
      <c r="A184" s="3" t="n"/>
      <c r="B184" s="2">
        <f>IF(A184="","",TEXT(A184,"MMM YYYY"))</f>
        <v/>
      </c>
      <c r="C184" s="2" t="n"/>
      <c r="D184" s="2" t="n"/>
      <c r="E184" s="2" t="n"/>
      <c r="F184" s="4" t="n"/>
      <c r="G184" s="2" t="n"/>
      <c r="H184" s="2" t="n"/>
      <c r="I184" s="2" t="n"/>
    </row>
    <row r="185">
      <c r="A185" s="3" t="n"/>
      <c r="B185" s="2">
        <f>IF(A185="","",TEXT(A185,"MMM YYYY"))</f>
        <v/>
      </c>
      <c r="C185" s="2" t="n"/>
      <c r="D185" s="2" t="n"/>
      <c r="E185" s="2" t="n"/>
      <c r="F185" s="4" t="n"/>
      <c r="G185" s="2" t="n"/>
      <c r="H185" s="2" t="n"/>
      <c r="I185" s="2" t="n"/>
    </row>
    <row r="186">
      <c r="A186" s="3" t="n"/>
      <c r="B186" s="2">
        <f>IF(A186="","",TEXT(A186,"MMM YYYY"))</f>
        <v/>
      </c>
      <c r="C186" s="2" t="n"/>
      <c r="D186" s="2" t="n"/>
      <c r="E186" s="2" t="n"/>
      <c r="F186" s="4" t="n"/>
      <c r="G186" s="2" t="n"/>
      <c r="H186" s="2" t="n"/>
      <c r="I186" s="2" t="n"/>
    </row>
    <row r="187">
      <c r="A187" s="3" t="n"/>
      <c r="B187" s="2">
        <f>IF(A187="","",TEXT(A187,"MMM YYYY"))</f>
        <v/>
      </c>
      <c r="C187" s="2" t="n"/>
      <c r="D187" s="2" t="n"/>
      <c r="E187" s="2" t="n"/>
      <c r="F187" s="4" t="n"/>
      <c r="G187" s="2" t="n"/>
      <c r="H187" s="2" t="n"/>
      <c r="I187" s="2" t="n"/>
    </row>
    <row r="188">
      <c r="A188" s="3" t="n"/>
      <c r="B188" s="2">
        <f>IF(A188="","",TEXT(A188,"MMM YYYY"))</f>
        <v/>
      </c>
      <c r="C188" s="2" t="n"/>
      <c r="D188" s="2" t="n"/>
      <c r="E188" s="2" t="n"/>
      <c r="F188" s="4" t="n"/>
      <c r="G188" s="2" t="n"/>
      <c r="H188" s="2" t="n"/>
      <c r="I188" s="2" t="n"/>
    </row>
    <row r="189">
      <c r="A189" s="3" t="n"/>
      <c r="B189" s="2">
        <f>IF(A189="","",TEXT(A189,"MMM YYYY"))</f>
        <v/>
      </c>
      <c r="C189" s="2" t="n"/>
      <c r="D189" s="2" t="n"/>
      <c r="E189" s="2" t="n"/>
      <c r="F189" s="4" t="n"/>
      <c r="G189" s="2" t="n"/>
      <c r="H189" s="2" t="n"/>
      <c r="I189" s="2" t="n"/>
    </row>
    <row r="190">
      <c r="A190" s="3" t="n"/>
      <c r="B190" s="2">
        <f>IF(A190="","",TEXT(A190,"MMM YYYY"))</f>
        <v/>
      </c>
      <c r="C190" s="2" t="n"/>
      <c r="D190" s="2" t="n"/>
      <c r="E190" s="2" t="n"/>
      <c r="F190" s="4" t="n"/>
      <c r="G190" s="2" t="n"/>
      <c r="H190" s="2" t="n"/>
      <c r="I190" s="2" t="n"/>
    </row>
    <row r="191">
      <c r="A191" s="3" t="n"/>
      <c r="B191" s="2">
        <f>IF(A191="","",TEXT(A191,"MMM YYYY"))</f>
        <v/>
      </c>
      <c r="C191" s="2" t="n"/>
      <c r="D191" s="2" t="n"/>
      <c r="E191" s="2" t="n"/>
      <c r="F191" s="4" t="n"/>
      <c r="G191" s="2" t="n"/>
      <c r="H191" s="2" t="n"/>
      <c r="I191" s="2" t="n"/>
    </row>
    <row r="192">
      <c r="A192" s="3" t="n"/>
      <c r="B192" s="2">
        <f>IF(A192="","",TEXT(A192,"MMM YYYY"))</f>
        <v/>
      </c>
      <c r="C192" s="2" t="n"/>
      <c r="D192" s="2" t="n"/>
      <c r="E192" s="2" t="n"/>
      <c r="F192" s="4" t="n"/>
      <c r="G192" s="2" t="n"/>
      <c r="H192" s="2" t="n"/>
      <c r="I192" s="2" t="n"/>
    </row>
    <row r="193">
      <c r="A193" s="3" t="n"/>
      <c r="B193" s="2">
        <f>IF(A193="","",TEXT(A193,"MMM YYYY"))</f>
        <v/>
      </c>
      <c r="C193" s="2" t="n"/>
      <c r="D193" s="2" t="n"/>
      <c r="E193" s="2" t="n"/>
      <c r="F193" s="4" t="n"/>
      <c r="G193" s="2" t="n"/>
      <c r="H193" s="2" t="n"/>
      <c r="I193" s="2" t="n"/>
    </row>
    <row r="194">
      <c r="A194" s="3" t="n"/>
      <c r="B194" s="2">
        <f>IF(A194="","",TEXT(A194,"MMM YYYY"))</f>
        <v/>
      </c>
      <c r="C194" s="2" t="n"/>
      <c r="D194" s="2" t="n"/>
      <c r="E194" s="2" t="n"/>
      <c r="F194" s="4" t="n"/>
      <c r="G194" s="2" t="n"/>
      <c r="H194" s="2" t="n"/>
      <c r="I194" s="2" t="n"/>
    </row>
    <row r="195">
      <c r="A195" s="3" t="n"/>
      <c r="B195" s="2">
        <f>IF(A195="","",TEXT(A195,"MMM YYYY"))</f>
        <v/>
      </c>
      <c r="C195" s="2" t="n"/>
      <c r="D195" s="2" t="n"/>
      <c r="E195" s="2" t="n"/>
      <c r="F195" s="4" t="n"/>
      <c r="G195" s="2" t="n"/>
      <c r="H195" s="2" t="n"/>
      <c r="I195" s="2" t="n"/>
    </row>
    <row r="196">
      <c r="A196" s="3" t="n"/>
      <c r="B196" s="2">
        <f>IF(A196="","",TEXT(A196,"MMM YYYY"))</f>
        <v/>
      </c>
      <c r="C196" s="2" t="n"/>
      <c r="D196" s="2" t="n"/>
      <c r="E196" s="2" t="n"/>
      <c r="F196" s="4" t="n"/>
      <c r="G196" s="2" t="n"/>
      <c r="H196" s="2" t="n"/>
      <c r="I196" s="2" t="n"/>
    </row>
    <row r="197">
      <c r="A197" s="3" t="n"/>
      <c r="B197" s="2">
        <f>IF(A197="","",TEXT(A197,"MMM YYYY"))</f>
        <v/>
      </c>
      <c r="C197" s="2" t="n"/>
      <c r="D197" s="2" t="n"/>
      <c r="E197" s="2" t="n"/>
      <c r="F197" s="4" t="n"/>
      <c r="G197" s="2" t="n"/>
      <c r="H197" s="2" t="n"/>
      <c r="I197" s="2" t="n"/>
    </row>
    <row r="198">
      <c r="A198" s="3" t="n"/>
      <c r="B198" s="2">
        <f>IF(A198="","",TEXT(A198,"MMM YYYY"))</f>
        <v/>
      </c>
      <c r="C198" s="2" t="n"/>
      <c r="D198" s="2" t="n"/>
      <c r="E198" s="2" t="n"/>
      <c r="F198" s="4" t="n"/>
      <c r="G198" s="2" t="n"/>
      <c r="H198" s="2" t="n"/>
      <c r="I198" s="2" t="n"/>
    </row>
    <row r="199">
      <c r="A199" s="3" t="n"/>
      <c r="B199" s="2">
        <f>IF(A199="","",TEXT(A199,"MMM YYYY"))</f>
        <v/>
      </c>
      <c r="C199" s="2" t="n"/>
      <c r="D199" s="2" t="n"/>
      <c r="E199" s="2" t="n"/>
      <c r="F199" s="4" t="n"/>
      <c r="G199" s="2" t="n"/>
      <c r="H199" s="2" t="n"/>
      <c r="I199" s="2" t="n"/>
    </row>
    <row r="200">
      <c r="A200" s="3" t="n"/>
      <c r="B200" s="2">
        <f>IF(A200="","",TEXT(A200,"MMM YYYY"))</f>
        <v/>
      </c>
      <c r="C200" s="2" t="n"/>
      <c r="D200" s="2" t="n"/>
      <c r="E200" s="2" t="n"/>
      <c r="F200" s="4" t="n"/>
      <c r="G200" s="2" t="n"/>
      <c r="H200" s="2" t="n"/>
      <c r="I200" s="2" t="n"/>
    </row>
    <row r="201">
      <c r="A201" s="3" t="n"/>
      <c r="B201" s="2">
        <f>IF(A201="","",TEXT(A201,"MMM YYYY"))</f>
        <v/>
      </c>
      <c r="C201" s="2" t="n"/>
      <c r="D201" s="2" t="n"/>
      <c r="E201" s="2" t="n"/>
      <c r="F201" s="4" t="n"/>
      <c r="G201" s="2" t="n"/>
      <c r="H201" s="2" t="n"/>
      <c r="I201" s="2" t="n"/>
    </row>
  </sheetData>
  <autoFilter ref="A1:I201"/>
  <dataValidations count="4">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error="Pick a Schedule E category" type="list">
      <formula1>"Mortgage Interest,Property Taxes,Insurance,Repairs &amp; Maintenance,Supplies,Utilities,Cleaning &amp; Turnover,Platform Fees,Professional Services,Advertising,Travel / Mileage,Depreciation,Other"</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showDropDown="0" showInputMessage="0" showErrorMessage="0" allowBlank="1" type="list">
      <formula1>"Credit Card,Debit Card,Cash,Check,Venmo,Zelle,PayPal,Other"</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showDropDown="0" showInputMessage="0" showErrorMessage="0" allowBlank="1" type="list">
      <formula1>"Y,N"</formula1>
    </dataValidation>
    <dataValidation sqref="I2:I201" showDropDown="0" showInputMessage="0" showErrorMessage="0" allowBlank="1" errorTitle="Invalid Status" error="Please select Business, Personal, or Review" promptTitle="Status" prompt="Tag this expense" type="list">
      <formula1>"Business,Personal,Review"</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G33"/>
  <sheetViews>
    <sheetView workbookViewId="0">
      <pane ySplit="3" topLeftCell="A4" activePane="bottomLeft" state="frozen"/>
      <selection pane="bottomLeft" activeCell="A1" sqref="A1"/>
    </sheetView>
  </sheetViews>
  <sheetFormatPr baseColWidth="8" defaultRowHeight="15"/>
  <cols>
    <col width="28" customWidth="1" min="1" max="1"/>
    <col width="28" customWidth="1" min="2" max="2"/>
    <col width="28" customWidth="1" min="3" max="3"/>
    <col width="17" customWidth="1" min="4" max="4"/>
    <col width="28" customWidth="1" min="5" max="5"/>
    <col width="28" customWidth="1" min="6" max="6"/>
    <col width="21" customWidth="1" min="7" max="7"/>
  </cols>
  <sheetData>
    <row r="1">
      <c r="A1" s="5" t="inlineStr">
        <is>
          <t>Keng's Landing — Monthly P&amp;L Summary</t>
        </is>
      </c>
    </row>
    <row r="3">
      <c r="A3" s="1" t="inlineStr">
        <is>
          <t>Month</t>
        </is>
      </c>
      <c r="B3" s="1" t="inlineStr">
        <is>
          <t>Revenue</t>
        </is>
      </c>
      <c r="C3" s="1" t="inlineStr">
        <is>
          <t>Expenses</t>
        </is>
      </c>
      <c r="D3" s="1" t="inlineStr">
        <is>
          <t>Net Profit/Loss</t>
        </is>
      </c>
      <c r="E3" s="1" t="inlineStr">
        <is>
          <t>Bookings</t>
        </is>
      </c>
      <c r="F3" s="1" t="inlineStr">
        <is>
          <t>Nights Booked</t>
        </is>
      </c>
      <c r="G3" s="1" t="inlineStr">
        <is>
          <t>Occupancy Rate</t>
        </is>
      </c>
    </row>
    <row r="4">
      <c r="A4" s="2" t="inlineStr">
        <is>
          <t>Jan 2026</t>
        </is>
      </c>
      <c r="B4" s="4">
        <f>SUMIFS(Bookings!$K$2:$K$101,Bookings!$A$2:$A$101,A4)</f>
        <v/>
      </c>
      <c r="C4" s="4">
        <f>SUMIFS(Expenses!$F$2:$F$201,Expenses!$B$2:$B$201,A4)</f>
        <v/>
      </c>
      <c r="D4" s="4">
        <f>B4-C4</f>
        <v/>
      </c>
      <c r="E4" s="2">
        <f>COUNTIFS(Bookings!$A$2:$A$101,A4)</f>
        <v/>
      </c>
      <c r="F4" s="2">
        <f>SUMIFS(Bookings!$F$2:$F$101,Bookings!$A$2:$A$101,A4)</f>
        <v/>
      </c>
      <c r="G4" s="20">
        <f>IFERROR(F4/31,0)</f>
        <v/>
      </c>
    </row>
    <row r="5">
      <c r="A5" s="2" t="inlineStr">
        <is>
          <t>Feb 2026</t>
        </is>
      </c>
      <c r="B5" s="4">
        <f>SUMIFS(Bookings!$K$2:$K$101,Bookings!$A$2:$A$101,A5)</f>
        <v/>
      </c>
      <c r="C5" s="4">
        <f>SUMIFS(Expenses!$F$2:$F$201,Expenses!$B$2:$B$201,A5)</f>
        <v/>
      </c>
      <c r="D5" s="4">
        <f>B5-C5</f>
        <v/>
      </c>
      <c r="E5" s="2">
        <f>COUNTIFS(Bookings!$A$2:$A$101,A5)</f>
        <v/>
      </c>
      <c r="F5" s="2">
        <f>SUMIFS(Bookings!$F$2:$F$101,Bookings!$A$2:$A$101,A5)</f>
        <v/>
      </c>
      <c r="G5" s="20">
        <f>IFERROR(F5/28,0)</f>
        <v/>
      </c>
    </row>
    <row r="6">
      <c r="A6" s="2" t="inlineStr">
        <is>
          <t>Mar 2026</t>
        </is>
      </c>
      <c r="B6" s="4">
        <f>SUMIFS(Bookings!$K$2:$K$101,Bookings!$A$2:$A$101,A6)</f>
        <v/>
      </c>
      <c r="C6" s="4">
        <f>SUMIFS(Expenses!$F$2:$F$201,Expenses!$B$2:$B$201,A6)</f>
        <v/>
      </c>
      <c r="D6" s="4">
        <f>B6-C6</f>
        <v/>
      </c>
      <c r="E6" s="2">
        <f>COUNTIFS(Bookings!$A$2:$A$101,A6)</f>
        <v/>
      </c>
      <c r="F6" s="2">
        <f>SUMIFS(Bookings!$F$2:$F$101,Bookings!$A$2:$A$101,A6)</f>
        <v/>
      </c>
      <c r="G6" s="20">
        <f>IFERROR(F6/31,0)</f>
        <v/>
      </c>
    </row>
    <row r="7">
      <c r="A7" s="2" t="inlineStr">
        <is>
          <t>Apr 2026</t>
        </is>
      </c>
      <c r="B7" s="4">
        <f>SUMIFS(Bookings!$K$2:$K$101,Bookings!$A$2:$A$101,A7)</f>
        <v/>
      </c>
      <c r="C7" s="4">
        <f>SUMIFS(Expenses!$F$2:$F$201,Expenses!$B$2:$B$201,A7)</f>
        <v/>
      </c>
      <c r="D7" s="4">
        <f>B7-C7</f>
        <v/>
      </c>
      <c r="E7" s="2">
        <f>COUNTIFS(Bookings!$A$2:$A$101,A7)</f>
        <v/>
      </c>
      <c r="F7" s="2">
        <f>SUMIFS(Bookings!$F$2:$F$101,Bookings!$A$2:$A$101,A7)</f>
        <v/>
      </c>
      <c r="G7" s="20">
        <f>IFERROR(F7/30,0)</f>
        <v/>
      </c>
    </row>
    <row r="8">
      <c r="A8" s="2" t="inlineStr">
        <is>
          <t>May 2026</t>
        </is>
      </c>
      <c r="B8" s="4">
        <f>SUMIFS(Bookings!$K$2:$K$101,Bookings!$A$2:$A$101,A8)</f>
        <v/>
      </c>
      <c r="C8" s="4">
        <f>SUMIFS(Expenses!$F$2:$F$201,Expenses!$B$2:$B$201,A8)</f>
        <v/>
      </c>
      <c r="D8" s="4">
        <f>B8-C8</f>
        <v/>
      </c>
      <c r="E8" s="2">
        <f>COUNTIFS(Bookings!$A$2:$A$101,A8)</f>
        <v/>
      </c>
      <c r="F8" s="2">
        <f>SUMIFS(Bookings!$F$2:$F$101,Bookings!$A$2:$A$101,A8)</f>
        <v/>
      </c>
      <c r="G8" s="20">
        <f>IFERROR(F8/31,0)</f>
        <v/>
      </c>
    </row>
    <row r="9">
      <c r="A9" s="2" t="inlineStr">
        <is>
          <t>Jun 2026</t>
        </is>
      </c>
      <c r="B9" s="4">
        <f>SUMIFS(Bookings!$K$2:$K$101,Bookings!$A$2:$A$101,A9)</f>
        <v/>
      </c>
      <c r="C9" s="4">
        <f>SUMIFS(Expenses!$F$2:$F$201,Expenses!$B$2:$B$201,A9)</f>
        <v/>
      </c>
      <c r="D9" s="4">
        <f>B9-C9</f>
        <v/>
      </c>
      <c r="E9" s="2">
        <f>COUNTIFS(Bookings!$A$2:$A$101,A9)</f>
        <v/>
      </c>
      <c r="F9" s="2">
        <f>SUMIFS(Bookings!$F$2:$F$101,Bookings!$A$2:$A$101,A9)</f>
        <v/>
      </c>
      <c r="G9" s="20">
        <f>IFERROR(F9/30,0)</f>
        <v/>
      </c>
    </row>
    <row r="10">
      <c r="A10" s="2" t="inlineStr">
        <is>
          <t>Jul 2026</t>
        </is>
      </c>
      <c r="B10" s="4">
        <f>SUMIFS(Bookings!$K$2:$K$101,Bookings!$A$2:$A$101,A10)</f>
        <v/>
      </c>
      <c r="C10" s="4">
        <f>SUMIFS(Expenses!$F$2:$F$201,Expenses!$B$2:$B$201,A10)</f>
        <v/>
      </c>
      <c r="D10" s="4">
        <f>B10-C10</f>
        <v/>
      </c>
      <c r="E10" s="2">
        <f>COUNTIFS(Bookings!$A$2:$A$101,A10)</f>
        <v/>
      </c>
      <c r="F10" s="2">
        <f>SUMIFS(Bookings!$F$2:$F$101,Bookings!$A$2:$A$101,A10)</f>
        <v/>
      </c>
      <c r="G10" s="20">
        <f>IFERROR(F10/31,0)</f>
        <v/>
      </c>
    </row>
    <row r="11">
      <c r="A11" s="2" t="inlineStr">
        <is>
          <t>Aug 2026</t>
        </is>
      </c>
      <c r="B11" s="4">
        <f>SUMIFS(Bookings!$K$2:$K$101,Bookings!$A$2:$A$101,A11)</f>
        <v/>
      </c>
      <c r="C11" s="4">
        <f>SUMIFS(Expenses!$F$2:$F$201,Expenses!$B$2:$B$201,A11)</f>
        <v/>
      </c>
      <c r="D11" s="4">
        <f>B11-C11</f>
        <v/>
      </c>
      <c r="E11" s="2">
        <f>COUNTIFS(Bookings!$A$2:$A$101,A11)</f>
        <v/>
      </c>
      <c r="F11" s="2">
        <f>SUMIFS(Bookings!$F$2:$F$101,Bookings!$A$2:$A$101,A11)</f>
        <v/>
      </c>
      <c r="G11" s="20">
        <f>IFERROR(F11/31,0)</f>
        <v/>
      </c>
    </row>
    <row r="12">
      <c r="A12" s="2" t="inlineStr">
        <is>
          <t>Sep 2026</t>
        </is>
      </c>
      <c r="B12" s="4">
        <f>SUMIFS(Bookings!$K$2:$K$101,Bookings!$A$2:$A$101,A12)</f>
        <v/>
      </c>
      <c r="C12" s="4">
        <f>SUMIFS(Expenses!$F$2:$F$201,Expenses!$B$2:$B$201,A12)</f>
        <v/>
      </c>
      <c r="D12" s="4">
        <f>B12-C12</f>
        <v/>
      </c>
      <c r="E12" s="2">
        <f>COUNTIFS(Bookings!$A$2:$A$101,A12)</f>
        <v/>
      </c>
      <c r="F12" s="2">
        <f>SUMIFS(Bookings!$F$2:$F$101,Bookings!$A$2:$A$101,A12)</f>
        <v/>
      </c>
      <c r="G12" s="20">
        <f>IFERROR(F12/30,0)</f>
        <v/>
      </c>
    </row>
    <row r="13">
      <c r="A13" s="2" t="inlineStr">
        <is>
          <t>Oct 2026</t>
        </is>
      </c>
      <c r="B13" s="4">
        <f>SUMIFS(Bookings!$K$2:$K$101,Bookings!$A$2:$A$101,A13)</f>
        <v/>
      </c>
      <c r="C13" s="4">
        <f>SUMIFS(Expenses!$F$2:$F$201,Expenses!$B$2:$B$201,A13)</f>
        <v/>
      </c>
      <c r="D13" s="4">
        <f>B13-C13</f>
        <v/>
      </c>
      <c r="E13" s="2">
        <f>COUNTIFS(Bookings!$A$2:$A$101,A13)</f>
        <v/>
      </c>
      <c r="F13" s="2">
        <f>SUMIFS(Bookings!$F$2:$F$101,Bookings!$A$2:$A$101,A13)</f>
        <v/>
      </c>
      <c r="G13" s="20">
        <f>IFERROR(F13/31,0)</f>
        <v/>
      </c>
    </row>
    <row r="14">
      <c r="A14" s="2" t="inlineStr">
        <is>
          <t>Nov 2026</t>
        </is>
      </c>
      <c r="B14" s="4">
        <f>SUMIFS(Bookings!$K$2:$K$101,Bookings!$A$2:$A$101,A14)</f>
        <v/>
      </c>
      <c r="C14" s="4">
        <f>SUMIFS(Expenses!$F$2:$F$201,Expenses!$B$2:$B$201,A14)</f>
        <v/>
      </c>
      <c r="D14" s="4">
        <f>B14-C14</f>
        <v/>
      </c>
      <c r="E14" s="2">
        <f>COUNTIFS(Bookings!$A$2:$A$101,A14)</f>
        <v/>
      </c>
      <c r="F14" s="2">
        <f>SUMIFS(Bookings!$F$2:$F$101,Bookings!$A$2:$A$101,A14)</f>
        <v/>
      </c>
      <c r="G14" s="20">
        <f>IFERROR(F14/30,0)</f>
        <v/>
      </c>
    </row>
    <row r="15">
      <c r="A15" s="2" t="inlineStr">
        <is>
          <t>Dec 2026</t>
        </is>
      </c>
      <c r="B15" s="4">
        <f>SUMIFS(Bookings!$K$2:$K$101,Bookings!$A$2:$A$101,A15)</f>
        <v/>
      </c>
      <c r="C15" s="4">
        <f>SUMIFS(Expenses!$F$2:$F$201,Expenses!$B$2:$B$201,A15)</f>
        <v/>
      </c>
      <c r="D15" s="4">
        <f>B15-C15</f>
        <v/>
      </c>
      <c r="E15" s="2">
        <f>COUNTIFS(Bookings!$A$2:$A$101,A15)</f>
        <v/>
      </c>
      <c r="F15" s="2">
        <f>SUMIFS(Bookings!$F$2:$F$101,Bookings!$A$2:$A$101,A15)</f>
        <v/>
      </c>
      <c r="G15" s="20">
        <f>IFERROR(F15/31,0)</f>
        <v/>
      </c>
    </row>
    <row r="16">
      <c r="A16" s="7" t="inlineStr">
        <is>
          <t>TOTAL 2026</t>
        </is>
      </c>
      <c r="B16" s="8">
        <f>SUM(B4:B15)</f>
        <v/>
      </c>
      <c r="C16" s="8">
        <f>SUM(C4:C15)</f>
        <v/>
      </c>
      <c r="D16" s="8">
        <f>SUM(D4:D15)</f>
        <v/>
      </c>
      <c r="E16" s="7">
        <f>SUM(E4:E15)</f>
        <v/>
      </c>
      <c r="F16" s="7">
        <f>SUM(F4:F15)</f>
        <v/>
      </c>
      <c r="G16" s="21">
        <f>IFERROR(F16/365,0)</f>
        <v/>
      </c>
    </row>
    <row r="18">
      <c r="A18" s="5" t="inlineStr">
        <is>
          <t>Expense Breakdown by Category</t>
        </is>
      </c>
    </row>
    <row r="19">
      <c r="A19" s="1" t="inlineStr">
        <is>
          <t>Category</t>
        </is>
      </c>
      <c r="B19" s="1" t="inlineStr">
        <is>
          <t>YTD Total</t>
        </is>
      </c>
      <c r="C19" s="1" t="inlineStr">
        <is>
          <t>% of Total</t>
        </is>
      </c>
    </row>
    <row r="20">
      <c r="A20" s="2" t="inlineStr">
        <is>
          <t>Mortgage Interest</t>
        </is>
      </c>
      <c r="B20" s="4">
        <f>SUMIFS(Expenses!$F$2:$F$201,Expenses!$C$2:$C$201,A20)</f>
        <v/>
      </c>
      <c r="C20" s="20">
        <f>IFERROR(B20/C16,0)</f>
        <v/>
      </c>
    </row>
    <row r="21">
      <c r="A21" s="2" t="inlineStr">
        <is>
          <t>Property Taxes</t>
        </is>
      </c>
      <c r="B21" s="4">
        <f>SUMIFS(Expenses!$F$2:$F$201,Expenses!$C$2:$C$201,A21)</f>
        <v/>
      </c>
      <c r="C21" s="20">
        <f>IFERROR(B21/C16,0)</f>
        <v/>
      </c>
    </row>
    <row r="22">
      <c r="A22" s="2" t="inlineStr">
        <is>
          <t>Insurance</t>
        </is>
      </c>
      <c r="B22" s="4">
        <f>SUMIFS(Expenses!$F$2:$F$201,Expenses!$C$2:$C$201,A22)</f>
        <v/>
      </c>
      <c r="C22" s="20">
        <f>IFERROR(B22/C16,0)</f>
        <v/>
      </c>
    </row>
    <row r="23">
      <c r="A23" s="2" t="inlineStr">
        <is>
          <t>Repairs &amp; Maintenance</t>
        </is>
      </c>
      <c r="B23" s="4">
        <f>SUMIFS(Expenses!$F$2:$F$201,Expenses!$C$2:$C$201,A23)</f>
        <v/>
      </c>
      <c r="C23" s="20">
        <f>IFERROR(B23/C16,0)</f>
        <v/>
      </c>
    </row>
    <row r="24">
      <c r="A24" s="2" t="inlineStr">
        <is>
          <t>Supplies</t>
        </is>
      </c>
      <c r="B24" s="4">
        <f>SUMIFS(Expenses!$F$2:$F$201,Expenses!$C$2:$C$201,A24)</f>
        <v/>
      </c>
      <c r="C24" s="20">
        <f>IFERROR(B24/C16,0)</f>
        <v/>
      </c>
    </row>
    <row r="25">
      <c r="A25" s="2" t="inlineStr">
        <is>
          <t>Utilities</t>
        </is>
      </c>
      <c r="B25" s="4">
        <f>SUMIFS(Expenses!$F$2:$F$201,Expenses!$C$2:$C$201,A25)</f>
        <v/>
      </c>
      <c r="C25" s="20">
        <f>IFERROR(B25/C16,0)</f>
        <v/>
      </c>
    </row>
    <row r="26">
      <c r="A26" s="2" t="inlineStr">
        <is>
          <t>Cleaning &amp; Turnover</t>
        </is>
      </c>
      <c r="B26" s="4">
        <f>SUMIFS(Expenses!$F$2:$F$201,Expenses!$C$2:$C$201,A26)</f>
        <v/>
      </c>
      <c r="C26" s="20">
        <f>IFERROR(B26/C16,0)</f>
        <v/>
      </c>
    </row>
    <row r="27">
      <c r="A27" s="2" t="inlineStr">
        <is>
          <t>Platform Fees</t>
        </is>
      </c>
      <c r="B27" s="4">
        <f>SUMIFS(Expenses!$F$2:$F$201,Expenses!$C$2:$C$201,A27)</f>
        <v/>
      </c>
      <c r="C27" s="20">
        <f>IFERROR(B27/C16,0)</f>
        <v/>
      </c>
    </row>
    <row r="28">
      <c r="A28" s="2" t="inlineStr">
        <is>
          <t>Professional Services</t>
        </is>
      </c>
      <c r="B28" s="4">
        <f>SUMIFS(Expenses!$F$2:$F$201,Expenses!$C$2:$C$201,A28)</f>
        <v/>
      </c>
      <c r="C28" s="20">
        <f>IFERROR(B28/C16,0)</f>
        <v/>
      </c>
    </row>
    <row r="29">
      <c r="A29" s="2" t="inlineStr">
        <is>
          <t>Advertising</t>
        </is>
      </c>
      <c r="B29" s="4">
        <f>SUMIFS(Expenses!$F$2:$F$201,Expenses!$C$2:$C$201,A29)</f>
        <v/>
      </c>
      <c r="C29" s="20">
        <f>IFERROR(B29/C16,0)</f>
        <v/>
      </c>
    </row>
    <row r="30">
      <c r="A30" s="2" t="inlineStr">
        <is>
          <t>Travel / Mileage</t>
        </is>
      </c>
      <c r="B30" s="4">
        <f>SUMIFS(Expenses!$F$2:$F$201,Expenses!$C$2:$C$201,A30)</f>
        <v/>
      </c>
      <c r="C30" s="20">
        <f>IFERROR(B30/C16,0)</f>
        <v/>
      </c>
    </row>
    <row r="31">
      <c r="A31" s="2" t="inlineStr">
        <is>
          <t>Depreciation</t>
        </is>
      </c>
      <c r="B31" s="4">
        <f>SUMIFS(Expenses!$F$2:$F$201,Expenses!$C$2:$C$201,A31)</f>
        <v/>
      </c>
      <c r="C31" s="20">
        <f>IFERROR(B31/C16,0)</f>
        <v/>
      </c>
    </row>
    <row r="32">
      <c r="A32" s="2" t="inlineStr">
        <is>
          <t>Other</t>
        </is>
      </c>
      <c r="B32" s="4">
        <f>SUMIFS(Expenses!$F$2:$F$201,Expenses!$C$2:$C$201,A32)</f>
        <v/>
      </c>
      <c r="C32" s="20">
        <f>IFERROR(B32/C16,0)</f>
        <v/>
      </c>
    </row>
    <row r="33">
      <c r="A33" s="7" t="inlineStr">
        <is>
          <t>Total</t>
        </is>
      </c>
      <c r="B33" s="8">
        <f>SUM(B20:B32)</f>
        <v/>
      </c>
      <c r="C33" s="2" t="n"/>
    </row>
  </sheetData>
  <mergeCells count="2">
    <mergeCell ref="A18:C18"/>
    <mergeCell ref="A1:G1"/>
  </mergeCells>
  <pageMargins left="0.75" right="0.75" top="1" bottom="1" header="0.5" footer="0.5"/>
</worksheet>
</file>

<file path=xl/worksheets/sheet4.xml><?xml version="1.0" encoding="utf-8"?>
<worksheet xmlns="http://schemas.openxmlformats.org/spreadsheetml/2006/main">
  <sheetPr>
    <tabColor rgb="00FFB900"/>
    <outlinePr summaryBelow="1" summaryRight="1"/>
    <pageSetUpPr/>
  </sheetPr>
  <dimension ref="A1:D34"/>
  <sheetViews>
    <sheetView workbookViewId="0">
      <selection activeCell="A1" sqref="A1"/>
    </sheetView>
  </sheetViews>
  <sheetFormatPr baseColWidth="8" defaultRowHeight="15"/>
  <cols>
    <col width="50" customWidth="1" min="1" max="1"/>
    <col width="22" customWidth="1" min="2" max="2"/>
  </cols>
  <sheetData>
    <row r="1">
      <c r="A1" s="5" t="inlineStr">
        <is>
          <t>Keng's Landing — Investment Recovery Tracker</t>
        </is>
      </c>
    </row>
    <row r="3">
      <c r="A3" s="10" t="inlineStr">
        <is>
          <t>INITIAL INVESTMENT</t>
        </is>
      </c>
      <c r="B3" s="11" t="n"/>
    </row>
    <row r="4">
      <c r="A4" t="inlineStr">
        <is>
          <t>Property Purchase (4 acres + house, hot tub, pond)</t>
        </is>
      </c>
      <c r="B4" s="12" t="n">
        <v>87000</v>
      </c>
    </row>
    <row r="5">
      <c r="A5" t="inlineStr">
        <is>
          <t>Improvements</t>
        </is>
      </c>
      <c r="B5" s="12" t="n">
        <v>0</v>
      </c>
    </row>
    <row r="6">
      <c r="A6" s="13" t="inlineStr">
        <is>
          <t>Total Investment</t>
        </is>
      </c>
      <c r="B6" s="14">
        <f>B4+B5</f>
        <v/>
      </c>
    </row>
    <row r="8">
      <c r="A8" s="10" t="inlineStr">
        <is>
          <t>ROI TARGET</t>
        </is>
      </c>
      <c r="B8" s="11" t="n"/>
    </row>
    <row r="9">
      <c r="A9" t="inlineStr">
        <is>
          <t>Target payback (years)</t>
        </is>
      </c>
      <c r="B9" t="n">
        <v>7</v>
      </c>
    </row>
    <row r="10">
      <c r="A10" t="inlineStr">
        <is>
          <t>Required annual net profit</t>
        </is>
      </c>
      <c r="B10" s="12">
        <f>B6/B9</f>
        <v/>
      </c>
    </row>
    <row r="11">
      <c r="A11" t="inlineStr">
        <is>
          <t>Required monthly net profit</t>
        </is>
      </c>
      <c r="B11" s="12">
        <f>B10/12</f>
        <v/>
      </c>
    </row>
    <row r="12">
      <c r="A12" t="inlineStr">
        <is>
          <t>At $150/night, min nights/month needed</t>
        </is>
      </c>
      <c r="B12">
        <f>ROUNDUP(B11/150,0)</f>
        <v/>
      </c>
    </row>
    <row r="14">
      <c r="A14" s="10" t="inlineStr">
        <is>
          <t>PROGRESS (auto-calculated)</t>
        </is>
      </c>
      <c r="B14" s="11" t="n"/>
    </row>
    <row r="15">
      <c r="A15" t="inlineStr">
        <is>
          <t>Total revenue to date</t>
        </is>
      </c>
      <c r="B15" s="12">
        <f>'Monthly Summary'!B16</f>
        <v/>
      </c>
    </row>
    <row r="16">
      <c r="A16" t="inlineStr">
        <is>
          <t>Total expenses to date</t>
        </is>
      </c>
      <c r="B16" s="12">
        <f>'Monthly Summary'!C16</f>
        <v/>
      </c>
    </row>
    <row r="17">
      <c r="A17" s="13" t="inlineStr">
        <is>
          <t>Net profit to date</t>
        </is>
      </c>
      <c r="B17" s="14">
        <f>'Monthly Summary'!D16</f>
        <v/>
      </c>
    </row>
    <row r="18">
      <c r="A18" t="inlineStr">
        <is>
          <t>Remaining to recover</t>
        </is>
      </c>
      <c r="B18" s="12">
        <f>B6-B17</f>
        <v/>
      </c>
    </row>
    <row r="19">
      <c r="A19" s="15" t="inlineStr">
        <is>
          <t>% recovered</t>
        </is>
      </c>
      <c r="B19" s="22">
        <f>IFERROR(B17/B6,0)</f>
        <v/>
      </c>
    </row>
    <row r="20">
      <c r="A20" t="inlineStr">
        <is>
          <t>Total bookings to date</t>
        </is>
      </c>
      <c r="B20">
        <f>'Monthly Summary'!E16</f>
        <v/>
      </c>
    </row>
    <row r="21">
      <c r="A21" t="inlineStr">
        <is>
          <t>Annual occupancy rate</t>
        </is>
      </c>
      <c r="B21" s="23">
        <f>'Monthly Summary'!G16</f>
        <v/>
      </c>
    </row>
    <row r="23">
      <c r="A23" s="10" t="inlineStr">
        <is>
          <t>PACE PROJECTIONS</t>
        </is>
      </c>
      <c r="B23" s="11" t="n"/>
    </row>
    <row r="24">
      <c r="A24" t="inlineStr">
        <is>
          <t>Months with revenue</t>
        </is>
      </c>
      <c r="B24">
        <f>COUNTIF('Monthly Summary'!B4:B15,"&gt;0")</f>
        <v/>
      </c>
    </row>
    <row r="25">
      <c r="A25" t="inlineStr">
        <is>
          <t>Average monthly net profit</t>
        </is>
      </c>
      <c r="B25" s="12">
        <f>IFERROR(B17/B24,0)</f>
        <v/>
      </c>
    </row>
    <row r="26">
      <c r="A26" t="inlineStr">
        <is>
          <t>Projected annual net profit (at current pace)</t>
        </is>
      </c>
      <c r="B26" s="12">
        <f>B25*12</f>
        <v/>
      </c>
    </row>
    <row r="27">
      <c r="A27" t="inlineStr">
        <is>
          <t>Projected years to recover investment</t>
        </is>
      </c>
      <c r="B27" s="24">
        <f>IFERROR(B6/B26,0)</f>
        <v/>
      </c>
    </row>
    <row r="28">
      <c r="A28" s="13" t="inlineStr">
        <is>
          <t>On track for 7-year target?</t>
        </is>
      </c>
      <c r="B28" s="13">
        <f>IF(B24=0,"No data yet",IF(B27&lt;=B9,"YES","NO — need more revenue"))</f>
        <v/>
      </c>
    </row>
    <row r="30">
      <c r="A30" s="10" t="inlineStr">
        <is>
          <t>FUTURE EXPANSION NOTES</t>
        </is>
      </c>
    </row>
    <row r="31">
      <c r="A31" t="inlineStr">
        <is>
          <t>• Tiny homes / mobile homes — additional rental units on the 4 acres</t>
        </is>
      </c>
    </row>
    <row r="32">
      <c r="A32" t="inlineStr">
        <is>
          <t>• Infrastructure needed: gravel paths, septic, water, electric meter</t>
        </is>
      </c>
    </row>
    <row r="33">
      <c r="A33" t="inlineStr">
        <is>
          <t>• May be tracked as separate venture/series — TBD with CPA</t>
        </is>
      </c>
    </row>
    <row r="34">
      <c r="A34" t="inlineStr">
        <is>
          <t>• Julie Rose exploring property management role ($20/hr)</t>
        </is>
      </c>
    </row>
  </sheetData>
  <mergeCells count="6">
    <mergeCell ref="A1:D1"/>
    <mergeCell ref="A31:D31"/>
    <mergeCell ref="A34:D34"/>
    <mergeCell ref="A30:D30"/>
    <mergeCell ref="A33:D33"/>
    <mergeCell ref="A32:D32"/>
  </mergeCell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s>
  <sheetData>
    <row r="1">
      <c r="A1" s="5" t="inlineStr">
        <is>
          <t>Keng's Landing — Annual Budget vs Actual</t>
        </is>
      </c>
    </row>
    <row r="2">
      <c r="A2" s="19" t="inlineStr">
        <is>
          <t>Set your Annual Budget per category in column B. Everything else auto-calculates.</t>
        </is>
      </c>
    </row>
    <row r="4">
      <c r="A4" s="1" t="inlineStr">
        <is>
          <t>Category</t>
        </is>
      </c>
      <c r="B4" s="1" t="inlineStr">
        <is>
          <t>Annual Budget</t>
        </is>
      </c>
      <c r="C4" s="1" t="inlineStr">
        <is>
          <t>Monthly Budget</t>
        </is>
      </c>
      <c r="D4" s="1" t="inlineStr">
        <is>
          <t>YTD Actual</t>
        </is>
      </c>
      <c r="E4" s="1" t="inlineStr">
        <is>
          <t>YTD Variance</t>
        </is>
      </c>
      <c r="F4" s="1" t="inlineStr">
        <is>
          <t>% Used</t>
        </is>
      </c>
    </row>
    <row r="5">
      <c r="A5" s="2" t="inlineStr">
        <is>
          <t>Mortgage Interest</t>
        </is>
      </c>
      <c r="B5" s="4" t="n"/>
      <c r="C5" s="4">
        <f>IFERROR(B5/12,0)</f>
        <v/>
      </c>
      <c r="D5" s="4">
        <f>SUMIFS(Expenses!$F$2:$F$201,Expenses!$C$2:$C$201,A5)</f>
        <v/>
      </c>
      <c r="E5" s="4">
        <f>B5-D5</f>
        <v/>
      </c>
      <c r="F5" s="20">
        <f>IFERROR(D5/B5,0)</f>
        <v/>
      </c>
    </row>
    <row r="6">
      <c r="A6" s="2" t="inlineStr">
        <is>
          <t>Property Taxes</t>
        </is>
      </c>
      <c r="B6" s="4" t="n"/>
      <c r="C6" s="4">
        <f>IFERROR(B6/12,0)</f>
        <v/>
      </c>
      <c r="D6" s="4">
        <f>SUMIFS(Expenses!$F$2:$F$201,Expenses!$C$2:$C$201,A6)</f>
        <v/>
      </c>
      <c r="E6" s="4">
        <f>B6-D6</f>
        <v/>
      </c>
      <c r="F6" s="20">
        <f>IFERROR(D6/B6,0)</f>
        <v/>
      </c>
    </row>
    <row r="7">
      <c r="A7" s="2" t="inlineStr">
        <is>
          <t>Insurance</t>
        </is>
      </c>
      <c r="B7" s="4" t="n"/>
      <c r="C7" s="4">
        <f>IFERROR(B7/12,0)</f>
        <v/>
      </c>
      <c r="D7" s="4">
        <f>SUMIFS(Expenses!$F$2:$F$201,Expenses!$C$2:$C$201,A7)</f>
        <v/>
      </c>
      <c r="E7" s="4">
        <f>B7-D7</f>
        <v/>
      </c>
      <c r="F7" s="20">
        <f>IFERROR(D7/B7,0)</f>
        <v/>
      </c>
    </row>
    <row r="8">
      <c r="A8" s="2" t="inlineStr">
        <is>
          <t>Repairs &amp; Maintenance</t>
        </is>
      </c>
      <c r="B8" s="4" t="n"/>
      <c r="C8" s="4">
        <f>IFERROR(B8/12,0)</f>
        <v/>
      </c>
      <c r="D8" s="4">
        <f>SUMIFS(Expenses!$F$2:$F$201,Expenses!$C$2:$C$201,A8)</f>
        <v/>
      </c>
      <c r="E8" s="4">
        <f>B8-D8</f>
        <v/>
      </c>
      <c r="F8" s="20">
        <f>IFERROR(D8/B8,0)</f>
        <v/>
      </c>
    </row>
    <row r="9">
      <c r="A9" s="2" t="inlineStr">
        <is>
          <t>Supplies</t>
        </is>
      </c>
      <c r="B9" s="4" t="n"/>
      <c r="C9" s="4">
        <f>IFERROR(B9/12,0)</f>
        <v/>
      </c>
      <c r="D9" s="4">
        <f>SUMIFS(Expenses!$F$2:$F$201,Expenses!$C$2:$C$201,A9)</f>
        <v/>
      </c>
      <c r="E9" s="4">
        <f>B9-D9</f>
        <v/>
      </c>
      <c r="F9" s="20">
        <f>IFERROR(D9/B9,0)</f>
        <v/>
      </c>
    </row>
    <row r="10">
      <c r="A10" s="2" t="inlineStr">
        <is>
          <t>Utilities</t>
        </is>
      </c>
      <c r="B10" s="4" t="n"/>
      <c r="C10" s="4">
        <f>IFERROR(B10/12,0)</f>
        <v/>
      </c>
      <c r="D10" s="4">
        <f>SUMIFS(Expenses!$F$2:$F$201,Expenses!$C$2:$C$201,A10)</f>
        <v/>
      </c>
      <c r="E10" s="4">
        <f>B10-D10</f>
        <v/>
      </c>
      <c r="F10" s="20">
        <f>IFERROR(D10/B10,0)</f>
        <v/>
      </c>
    </row>
    <row r="11">
      <c r="A11" s="2" t="inlineStr">
        <is>
          <t>Cleaning &amp; Turnover</t>
        </is>
      </c>
      <c r="B11" s="4" t="n"/>
      <c r="C11" s="4">
        <f>IFERROR(B11/12,0)</f>
        <v/>
      </c>
      <c r="D11" s="4">
        <f>SUMIFS(Expenses!$F$2:$F$201,Expenses!$C$2:$C$201,A11)</f>
        <v/>
      </c>
      <c r="E11" s="4">
        <f>B11-D11</f>
        <v/>
      </c>
      <c r="F11" s="20">
        <f>IFERROR(D11/B11,0)</f>
        <v/>
      </c>
    </row>
    <row r="12">
      <c r="A12" s="2" t="inlineStr">
        <is>
          <t>Platform Fees</t>
        </is>
      </c>
      <c r="B12" s="4" t="n"/>
      <c r="C12" s="4">
        <f>IFERROR(B12/12,0)</f>
        <v/>
      </c>
      <c r="D12" s="4">
        <f>SUMIFS(Expenses!$F$2:$F$201,Expenses!$C$2:$C$201,A12)</f>
        <v/>
      </c>
      <c r="E12" s="4">
        <f>B12-D12</f>
        <v/>
      </c>
      <c r="F12" s="20">
        <f>IFERROR(D12/B12,0)</f>
        <v/>
      </c>
    </row>
    <row r="13">
      <c r="A13" s="2" t="inlineStr">
        <is>
          <t>Professional Services</t>
        </is>
      </c>
      <c r="B13" s="4" t="n"/>
      <c r="C13" s="4">
        <f>IFERROR(B13/12,0)</f>
        <v/>
      </c>
      <c r="D13" s="4">
        <f>SUMIFS(Expenses!$F$2:$F$201,Expenses!$C$2:$C$201,A13)</f>
        <v/>
      </c>
      <c r="E13" s="4">
        <f>B13-D13</f>
        <v/>
      </c>
      <c r="F13" s="20">
        <f>IFERROR(D13/B13,0)</f>
        <v/>
      </c>
    </row>
    <row r="14">
      <c r="A14" s="2" t="inlineStr">
        <is>
          <t>Advertising</t>
        </is>
      </c>
      <c r="B14" s="4" t="n"/>
      <c r="C14" s="4">
        <f>IFERROR(B14/12,0)</f>
        <v/>
      </c>
      <c r="D14" s="4">
        <f>SUMIFS(Expenses!$F$2:$F$201,Expenses!$C$2:$C$201,A14)</f>
        <v/>
      </c>
      <c r="E14" s="4">
        <f>B14-D14</f>
        <v/>
      </c>
      <c r="F14" s="20">
        <f>IFERROR(D14/B14,0)</f>
        <v/>
      </c>
    </row>
    <row r="15">
      <c r="A15" s="2" t="inlineStr">
        <is>
          <t>Travel / Mileage</t>
        </is>
      </c>
      <c r="B15" s="4" t="n"/>
      <c r="C15" s="4">
        <f>IFERROR(B15/12,0)</f>
        <v/>
      </c>
      <c r="D15" s="4">
        <f>SUMIFS(Expenses!$F$2:$F$201,Expenses!$C$2:$C$201,A15)</f>
        <v/>
      </c>
      <c r="E15" s="4">
        <f>B15-D15</f>
        <v/>
      </c>
      <c r="F15" s="20">
        <f>IFERROR(D15/B15,0)</f>
        <v/>
      </c>
    </row>
    <row r="16">
      <c r="A16" s="2" t="inlineStr">
        <is>
          <t>Depreciation</t>
        </is>
      </c>
      <c r="B16" s="4" t="n"/>
      <c r="C16" s="4">
        <f>IFERROR(B16/12,0)</f>
        <v/>
      </c>
      <c r="D16" s="4">
        <f>SUMIFS(Expenses!$F$2:$F$201,Expenses!$C$2:$C$201,A16)</f>
        <v/>
      </c>
      <c r="E16" s="4">
        <f>B16-D16</f>
        <v/>
      </c>
      <c r="F16" s="20">
        <f>IFERROR(D16/B16,0)</f>
        <v/>
      </c>
    </row>
    <row r="17">
      <c r="A17" s="2" t="inlineStr">
        <is>
          <t>Other</t>
        </is>
      </c>
      <c r="B17" s="4" t="n"/>
      <c r="C17" s="4">
        <f>IFERROR(B17/12,0)</f>
        <v/>
      </c>
      <c r="D17" s="4">
        <f>SUMIFS(Expenses!$F$2:$F$201,Expenses!$C$2:$C$201,A17)</f>
        <v/>
      </c>
      <c r="E17" s="4">
        <f>B17-D17</f>
        <v/>
      </c>
      <c r="F17" s="20">
        <f>IFERROR(D17/B17,0)</f>
        <v/>
      </c>
    </row>
    <row r="18">
      <c r="A18" s="7" t="inlineStr">
        <is>
          <t>TOTAL</t>
        </is>
      </c>
      <c r="B18" s="8">
        <f>SUM(B5:B17)</f>
        <v/>
      </c>
      <c r="C18" s="8">
        <f>SUM(C5:C17)</f>
        <v/>
      </c>
      <c r="D18" s="8">
        <f>SUM(D5:D17)</f>
        <v/>
      </c>
      <c r="E18" s="8">
        <f>SUM(E5:E17)</f>
        <v/>
      </c>
      <c r="F18" s="21">
        <f>IFERROR(D18/B18,0)</f>
        <v/>
      </c>
    </row>
    <row r="20">
      <c r="A20" s="10" t="inlineStr">
        <is>
          <t>Revenue Target</t>
        </is>
      </c>
    </row>
    <row r="21">
      <c r="A21" s="1" t="inlineStr">
        <is>
          <t>Metric</t>
        </is>
      </c>
      <c r="B21" s="1" t="inlineStr">
        <is>
          <t>Annual Target</t>
        </is>
      </c>
      <c r="C21" s="1" t="inlineStr">
        <is>
          <t>Monthly Target</t>
        </is>
      </c>
      <c r="D21" s="1" t="inlineStr">
        <is>
          <t>YTD Actual</t>
        </is>
      </c>
      <c r="E21" s="1" t="inlineStr">
        <is>
          <t>YTD Variance</t>
        </is>
      </c>
      <c r="F21" s="1" t="inlineStr">
        <is>
          <t>% Achieved</t>
        </is>
      </c>
    </row>
    <row r="22">
      <c r="A22" s="2" t="inlineStr">
        <is>
          <t>Gross Revenue</t>
        </is>
      </c>
      <c r="B22" s="4" t="n"/>
      <c r="C22" s="4">
        <f>IFERROR(B22/12,0)</f>
        <v/>
      </c>
      <c r="D22" s="4">
        <f>'Monthly Summary'!B16</f>
        <v/>
      </c>
      <c r="E22" s="4">
        <f>D22-B22</f>
        <v/>
      </c>
      <c r="F22" s="20">
        <f>IFERROR(D22/B22,0)</f>
        <v/>
      </c>
    </row>
    <row r="23">
      <c r="A23" s="2" t="inlineStr">
        <is>
          <t>Net Profit</t>
        </is>
      </c>
      <c r="B23" s="4" t="n"/>
      <c r="C23" s="4">
        <f>IFERROR(B23/12,0)</f>
        <v/>
      </c>
      <c r="D23" s="4">
        <f>'Monthly Summary'!D16</f>
        <v/>
      </c>
      <c r="E23" s="4">
        <f>D23-B23</f>
        <v/>
      </c>
      <c r="F23" s="20">
        <f>IFERROR(D23/B23,0)</f>
        <v/>
      </c>
    </row>
  </sheetData>
  <mergeCells count="3">
    <mergeCell ref="A20:F20"/>
    <mergeCell ref="A2:F2"/>
    <mergeCell ref="A1:F1"/>
  </mergeCells>
  <pageMargins left="0.75" right="0.75" top="1" bottom="1" header="0.5" footer="0.5"/>
</worksheet>
</file>

<file path=xl/worksheets/sheet6.xml><?xml version="1.0" encoding="utf-8"?>
<worksheet xmlns="http://schemas.openxmlformats.org/spreadsheetml/2006/main">
  <sheetPr>
    <tabColor rgb="00808080"/>
    <outlinePr summaryBelow="1" summaryRight="1"/>
    <pageSetUpPr/>
  </sheetPr>
  <dimension ref="A1:C16"/>
  <sheetViews>
    <sheetView workbookViewId="0">
      <selection activeCell="A1" sqref="A1"/>
    </sheetView>
  </sheetViews>
  <sheetFormatPr baseColWidth="8" defaultRowHeight="15"/>
  <cols>
    <col width="22" customWidth="1" min="1" max="1"/>
    <col width="40" customWidth="1" min="2" max="2"/>
    <col width="50" customWidth="1" min="3" max="3"/>
  </cols>
  <sheetData>
    <row r="1">
      <c r="A1" s="5" t="inlineStr">
        <is>
          <t>Schedule E Expense Categories — Quick Reference</t>
        </is>
      </c>
    </row>
    <row r="3">
      <c r="A3" s="1" t="inlineStr">
        <is>
          <t>Category</t>
        </is>
      </c>
      <c r="B3" s="1" t="inlineStr">
        <is>
          <t>What Counts</t>
        </is>
      </c>
      <c r="C3" s="1" t="inlineStr">
        <is>
          <t>Examples</t>
        </is>
      </c>
    </row>
    <row r="4">
      <c r="A4" s="2" t="inlineStr">
        <is>
          <t>Mortgage Interest</t>
        </is>
      </c>
      <c r="B4" s="2" t="inlineStr">
        <is>
          <t>Interest portion of monthly mortgage only</t>
        </is>
      </c>
      <c r="C4" s="2" t="inlineStr">
        <is>
          <t>Bank statement line item</t>
        </is>
      </c>
    </row>
    <row r="5">
      <c r="A5" s="2" t="inlineStr">
        <is>
          <t>Property Taxes</t>
        </is>
      </c>
      <c r="B5" s="2" t="inlineStr">
        <is>
          <t>County/city property taxes</t>
        </is>
      </c>
      <c r="C5" s="2" t="inlineStr">
        <is>
          <t>Freestone County tax bill</t>
        </is>
      </c>
    </row>
    <row r="6">
      <c r="A6" s="2" t="inlineStr">
        <is>
          <t>Insurance</t>
        </is>
      </c>
      <c r="B6" s="2" t="inlineStr">
        <is>
          <t>Property insurance premiums</t>
        </is>
      </c>
      <c r="C6" s="2" t="inlineStr">
        <is>
          <t>Landlord policy, umbrella policy</t>
        </is>
      </c>
    </row>
    <row r="7">
      <c r="A7" s="2" t="inlineStr">
        <is>
          <t>Repairs &amp; Maintenance</t>
        </is>
      </c>
      <c r="B7" s="2" t="inlineStr">
        <is>
          <t>Fixing or maintaining existing property</t>
        </is>
      </c>
      <c r="C7" s="2" t="inlineStr">
        <is>
          <t>Plumbing, HVAC repair, pest control, hot tub maintenance</t>
        </is>
      </c>
    </row>
    <row r="8">
      <c r="A8" s="2" t="inlineStr">
        <is>
          <t>Supplies</t>
        </is>
      </c>
      <c r="B8" s="2" t="inlineStr">
        <is>
          <t>Consumables for guests or property</t>
        </is>
      </c>
      <c r="C8" s="2" t="inlineStr">
        <is>
          <t>Cleaning supplies, toiletries, linens, kitchen items, light bulbs</t>
        </is>
      </c>
    </row>
    <row r="9">
      <c r="A9" s="2" t="inlineStr">
        <is>
          <t>Utilities</t>
        </is>
      </c>
      <c r="B9" s="2" t="inlineStr">
        <is>
          <t>Monthly service bills</t>
        </is>
      </c>
      <c r="C9" s="2" t="inlineStr">
        <is>
          <t>Electric, water, propane, Starlink internet, trash</t>
        </is>
      </c>
    </row>
    <row r="10">
      <c r="A10" s="2" t="inlineStr">
        <is>
          <t>Cleaning &amp; Turnover</t>
        </is>
      </c>
      <c r="B10" s="2" t="inlineStr">
        <is>
          <t>Cleaning between guests</t>
        </is>
      </c>
      <c r="C10" s="2" t="inlineStr">
        <is>
          <t>Professional cleaner per-visit fee (Julie Rose)</t>
        </is>
      </c>
    </row>
    <row r="11">
      <c r="A11" s="2" t="inlineStr">
        <is>
          <t>Platform Fees</t>
        </is>
      </c>
      <c r="B11" s="2" t="inlineStr">
        <is>
          <t>Host fees charged by platforms</t>
        </is>
      </c>
      <c r="C11" s="2" t="inlineStr">
        <is>
          <t>Airbnb 3% host fee (if separate from payout)</t>
        </is>
      </c>
    </row>
    <row r="12">
      <c r="A12" s="2" t="inlineStr">
        <is>
          <t>Professional Services</t>
        </is>
      </c>
      <c r="B12" s="2" t="inlineStr">
        <is>
          <t>Expert help</t>
        </is>
      </c>
      <c r="C12" s="2" t="inlineStr">
        <is>
          <t>CPA, attorney, property manager</t>
        </is>
      </c>
    </row>
    <row r="13">
      <c r="A13" s="2" t="inlineStr">
        <is>
          <t>Advertising</t>
        </is>
      </c>
      <c r="B13" s="2" t="inlineStr">
        <is>
          <t>Marketing spend</t>
        </is>
      </c>
      <c r="C13" s="2" t="inlineStr">
        <is>
          <t>Listing boost, professional photos</t>
        </is>
      </c>
    </row>
    <row r="14">
      <c r="A14" s="2" t="inlineStr">
        <is>
          <t>Travel / Mileage</t>
        </is>
      </c>
      <c r="B14" s="2" t="inlineStr">
        <is>
          <t>Trips to property for business</t>
        </is>
      </c>
      <c r="C14" s="2" t="inlineStr">
        <is>
          <t>IRS standard mileage rate x miles driven</t>
        </is>
      </c>
    </row>
    <row r="15">
      <c r="A15" s="2" t="inlineStr">
        <is>
          <t>Depreciation</t>
        </is>
      </c>
      <c r="B15" s="2" t="inlineStr">
        <is>
          <t>Asset value depreciation</t>
        </is>
      </c>
      <c r="C15" s="2" t="inlineStr">
        <is>
          <t>Building: 27.5yr, Furniture: 5-7yr</t>
        </is>
      </c>
    </row>
    <row r="16">
      <c r="A16" s="2" t="inlineStr">
        <is>
          <t>Other</t>
        </is>
      </c>
      <c r="B16" s="2" t="inlineStr">
        <is>
          <t>Anything that doesn't fit above</t>
        </is>
      </c>
      <c r="C16" s="2" t="inlineStr">
        <is>
          <t>Smart locks, permits, software subscriptions</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1" customWidth="1" min="1" max="1"/>
    <col width="15" customWidth="1" min="2" max="2"/>
    <col width="32" customWidth="1" min="3" max="3"/>
    <col width="18" customWidth="1" min="4" max="4"/>
    <col width="40" customWidth="1" min="5" max="5"/>
    <col width="40" customWidth="1" min="6" max="6"/>
    <col width="10" customWidth="1" min="7" max="7"/>
    <col width="11" customWidth="1" min="8" max="8"/>
  </cols>
  <sheetData>
    <row r="1">
      <c r="A1" s="13" t="inlineStr">
        <is>
          <t>Date</t>
        </is>
      </c>
      <c r="B1" s="13" t="inlineStr">
        <is>
          <t>Origin</t>
        </is>
      </c>
      <c r="C1" s="13" t="inlineStr">
        <is>
          <t>Destination</t>
        </is>
      </c>
      <c r="D1" s="13" t="inlineStr">
        <is>
          <t>Round Trip Miles</t>
        </is>
      </c>
      <c r="E1" s="13" t="inlineStr">
        <is>
          <t>Purpose</t>
        </is>
      </c>
      <c r="F1" s="13" t="inlineStr">
        <is>
          <t>Stops/Evidence</t>
        </is>
      </c>
      <c r="G1" s="13" t="inlineStr">
        <is>
          <t>IRS Rate</t>
        </is>
      </c>
      <c r="H1" s="13" t="inlineStr">
        <is>
          <t>Deduction</t>
        </is>
      </c>
    </row>
    <row r="2">
      <c r="A2" s="25" t="n">
        <v>46023</v>
      </c>
      <c r="B2" t="inlineStr">
        <is>
          <t>Mansfield, TX</t>
        </is>
      </c>
      <c r="C2" t="inlineStr">
        <is>
          <t>360 County Road, Fairfield, TX</t>
        </is>
      </c>
      <c r="D2" t="n">
        <v>120</v>
      </c>
      <c r="E2" t="inlineStr">
        <is>
          <t>property work, supplies</t>
        </is>
      </c>
      <c r="F2" t="inlineStr">
        <is>
          <t>Brookshire Brothers, McDonald’s</t>
        </is>
      </c>
      <c r="G2" s="28" t="n">
        <v>0.7</v>
      </c>
      <c r="H2" s="28" t="n">
        <v>84</v>
      </c>
    </row>
    <row r="3">
      <c r="A3" s="25" t="n">
        <v>46027</v>
      </c>
      <c r="B3" t="inlineStr">
        <is>
          <t>Mansfield, TX</t>
        </is>
      </c>
      <c r="C3" t="inlineStr">
        <is>
          <t>360 County Road, Fairfield, TX</t>
        </is>
      </c>
      <c r="D3" t="n">
        <v>120</v>
      </c>
      <c r="E3" t="inlineStr">
        <is>
          <t>maintenance/repairs</t>
        </is>
      </c>
      <c r="F3" t="inlineStr">
        <is>
          <t>Home Depot</t>
        </is>
      </c>
      <c r="G3" s="28" t="n">
        <v>0.7</v>
      </c>
      <c r="H3" s="28" t="n">
        <v>84</v>
      </c>
    </row>
    <row r="4">
      <c r="A4" s="25" t="n">
        <v>46031</v>
      </c>
      <c r="B4" t="inlineStr">
        <is>
          <t>Mansfield, TX</t>
        </is>
      </c>
      <c r="C4" t="inlineStr">
        <is>
          <t>360 County Road, Fairfield, TX</t>
        </is>
      </c>
      <c r="D4" t="n">
        <v>120</v>
      </c>
      <c r="E4" t="inlineStr">
        <is>
          <t>maintenance/repairs, property work, supplies</t>
        </is>
      </c>
      <c r="F4" t="inlineStr">
        <is>
          <t>Burger King, Brookshire Brothers, Home Depot</t>
        </is>
      </c>
      <c r="G4" s="28" t="n">
        <v>0.7</v>
      </c>
      <c r="H4" s="28" t="n">
        <v>84</v>
      </c>
    </row>
    <row r="5">
      <c r="A5" s="25" t="n">
        <v>46032</v>
      </c>
      <c r="B5" t="inlineStr">
        <is>
          <t>Mansfield, TX</t>
        </is>
      </c>
      <c r="C5" t="inlineStr">
        <is>
          <t>360 County Road, Fairfield, TX</t>
        </is>
      </c>
      <c r="D5" t="n">
        <v>120</v>
      </c>
      <c r="E5" t="inlineStr">
        <is>
          <t>maintenance/repairs</t>
        </is>
      </c>
      <c r="F5" t="inlineStr">
        <is>
          <t>Home Depot</t>
        </is>
      </c>
      <c r="G5" s="28" t="n">
        <v>0.7</v>
      </c>
      <c r="H5" s="28" t="n">
        <v>84</v>
      </c>
    </row>
    <row r="6">
      <c r="A6" s="25" t="n">
        <v>46034</v>
      </c>
      <c r="B6" t="inlineStr">
        <is>
          <t>Mansfield, TX</t>
        </is>
      </c>
      <c r="C6" t="inlineStr">
        <is>
          <t>360 County Road, Fairfield, TX</t>
        </is>
      </c>
      <c r="D6" t="n">
        <v>120</v>
      </c>
      <c r="E6" t="inlineStr">
        <is>
          <t>maintenance/repairs</t>
        </is>
      </c>
      <c r="F6" t="inlineStr">
        <is>
          <t>Refund: Home Depot</t>
        </is>
      </c>
      <c r="G6" s="28" t="n">
        <v>0.7</v>
      </c>
      <c r="H6" s="28" t="n">
        <v>84</v>
      </c>
    </row>
    <row r="7">
      <c r="A7" s="25" t="n">
        <v>46037</v>
      </c>
      <c r="B7" t="inlineStr">
        <is>
          <t>Mansfield, TX</t>
        </is>
      </c>
      <c r="C7" t="inlineStr">
        <is>
          <t>360 County Road, Fairfield, TX</t>
        </is>
      </c>
      <c r="D7" t="n">
        <v>120</v>
      </c>
      <c r="E7" t="inlineStr">
        <is>
          <t>maintenance/repairs</t>
        </is>
      </c>
      <c r="F7" t="inlineStr">
        <is>
          <t>Brenco, Home Depot</t>
        </is>
      </c>
      <c r="G7" s="28" t="n">
        <v>0.7</v>
      </c>
      <c r="H7" s="28" t="n">
        <v>84</v>
      </c>
    </row>
    <row r="8">
      <c r="A8" s="25" t="n">
        <v>46038</v>
      </c>
      <c r="B8" t="inlineStr">
        <is>
          <t>Mansfield, TX</t>
        </is>
      </c>
      <c r="C8" t="inlineStr">
        <is>
          <t>360 County Road, Fairfield, TX</t>
        </is>
      </c>
      <c r="D8" t="n">
        <v>120</v>
      </c>
      <c r="E8" t="inlineStr">
        <is>
          <t>maintenance/repairs</t>
        </is>
      </c>
      <c r="F8" t="inlineStr">
        <is>
          <t>Home Depot</t>
        </is>
      </c>
      <c r="G8" s="28" t="n">
        <v>0.7</v>
      </c>
      <c r="H8" s="28" t="n">
        <v>84</v>
      </c>
    </row>
    <row r="9">
      <c r="A9" s="25" t="n">
        <v>46039</v>
      </c>
      <c r="B9" t="inlineStr">
        <is>
          <t>Mansfield, TX</t>
        </is>
      </c>
      <c r="C9" t="inlineStr">
        <is>
          <t>360 County Road, Fairfield, TX</t>
        </is>
      </c>
      <c r="D9" t="n">
        <v>120</v>
      </c>
      <c r="E9" t="inlineStr">
        <is>
          <t>supplies</t>
        </is>
      </c>
      <c r="F9" t="inlineStr">
        <is>
          <t>Brookshire Brothers</t>
        </is>
      </c>
      <c r="G9" s="28" t="n">
        <v>0.7</v>
      </c>
      <c r="H9" s="28" t="n">
        <v>84</v>
      </c>
    </row>
    <row r="10">
      <c r="A10" s="25" t="n">
        <v>46040</v>
      </c>
      <c r="B10" t="inlineStr">
        <is>
          <t>Mansfield, TX</t>
        </is>
      </c>
      <c r="C10" t="inlineStr">
        <is>
          <t>360 County Road, Fairfield, TX</t>
        </is>
      </c>
      <c r="D10" t="n">
        <v>120</v>
      </c>
      <c r="E10" t="inlineStr">
        <is>
          <t>maintenance/repairs, property work</t>
        </is>
      </c>
      <c r="F10" t="inlineStr">
        <is>
          <t>Ace Home Center, Pizza Hut</t>
        </is>
      </c>
      <c r="G10" s="28" t="n">
        <v>0.7</v>
      </c>
      <c r="H10" s="28" t="n">
        <v>84</v>
      </c>
    </row>
    <row r="11">
      <c r="A11" s="25" t="n">
        <v>46060</v>
      </c>
      <c r="B11" t="inlineStr">
        <is>
          <t>Mansfield, TX</t>
        </is>
      </c>
      <c r="C11" t="inlineStr">
        <is>
          <t>360 County Road, Fairfield, TX</t>
        </is>
      </c>
      <c r="D11" t="n">
        <v>120</v>
      </c>
      <c r="E11" t="inlineStr">
        <is>
          <t>maintenance/repairs</t>
        </is>
      </c>
      <c r="F11" t="inlineStr">
        <is>
          <t>Capps True Value Hardware and Ag Center</t>
        </is>
      </c>
      <c r="G11" s="28" t="n">
        <v>0.7</v>
      </c>
      <c r="H11" s="28" t="n">
        <v>84</v>
      </c>
    </row>
    <row r="12">
      <c r="A12" s="25" t="n">
        <v>46063</v>
      </c>
      <c r="B12" t="inlineStr">
        <is>
          <t>Mansfield, TX</t>
        </is>
      </c>
      <c r="C12" t="inlineStr">
        <is>
          <t>360 County Road, Fairfield, TX</t>
        </is>
      </c>
      <c r="D12" t="n">
        <v>120</v>
      </c>
      <c r="E12" t="inlineStr">
        <is>
          <t>maintenance/repairs, property work</t>
        </is>
      </c>
      <c r="F12" t="inlineStr">
        <is>
          <t>Exotic Smoke And Vape, Refund: Home Depot, Home Depot</t>
        </is>
      </c>
      <c r="G12" s="28" t="n">
        <v>0.7</v>
      </c>
      <c r="H12" s="28" t="n">
        <v>84</v>
      </c>
    </row>
    <row r="13">
      <c r="A13" s="25" t="n">
        <v>46067</v>
      </c>
      <c r="B13" t="inlineStr">
        <is>
          <t>Mansfield, TX</t>
        </is>
      </c>
      <c r="C13" t="inlineStr">
        <is>
          <t>360 County Road, Fairfield, TX</t>
        </is>
      </c>
      <c r="D13" t="n">
        <v>120</v>
      </c>
      <c r="E13" t="inlineStr">
        <is>
          <t>property work</t>
        </is>
      </c>
      <c r="F13" t="inlineStr">
        <is>
          <t>Wendy's</t>
        </is>
      </c>
      <c r="G13" s="28" t="n">
        <v>0.7</v>
      </c>
      <c r="H13" s="28" t="n">
        <v>84</v>
      </c>
    </row>
    <row r="14">
      <c r="A14" s="25" t="n">
        <v>46085</v>
      </c>
      <c r="B14" t="inlineStr">
        <is>
          <t>Mansfield, TX</t>
        </is>
      </c>
      <c r="C14" t="inlineStr">
        <is>
          <t>360 County Road, Fairfield, TX</t>
        </is>
      </c>
      <c r="D14" t="n">
        <v>120</v>
      </c>
      <c r="E14" t="inlineStr">
        <is>
          <t>transit fuel</t>
        </is>
      </c>
      <c r="F14" t="inlineStr">
        <is>
          <t>Love's Travel Stop</t>
        </is>
      </c>
      <c r="G14" s="28" t="n">
        <v>0.7</v>
      </c>
      <c r="H14" s="28" t="n">
        <v>84</v>
      </c>
    </row>
    <row r="15">
      <c r="A15" s="25" t="n">
        <v>46090</v>
      </c>
      <c r="B15" t="inlineStr">
        <is>
          <t>Mansfield, TX</t>
        </is>
      </c>
      <c r="C15" t="inlineStr">
        <is>
          <t>360 County Road, Fairfield, TX</t>
        </is>
      </c>
      <c r="D15" t="n">
        <v>120</v>
      </c>
      <c r="E15" t="inlineStr">
        <is>
          <t>maintenance/repairs, supplies</t>
        </is>
      </c>
      <c r="F15" t="inlineStr">
        <is>
          <t>Ace Home Center, Brookshire Brothers</t>
        </is>
      </c>
      <c r="G15" s="28" t="n">
        <v>0.7</v>
      </c>
      <c r="H15" s="28" t="n">
        <v>84</v>
      </c>
    </row>
    <row r="16">
      <c r="A16" s="25" t="n">
        <v>46098</v>
      </c>
      <c r="B16" t="inlineStr">
        <is>
          <t>Mansfield, TX</t>
        </is>
      </c>
      <c r="C16" t="inlineStr">
        <is>
          <t>360 County Road, Fairfield, TX</t>
        </is>
      </c>
      <c r="D16" t="n">
        <v>120</v>
      </c>
      <c r="E16" t="inlineStr">
        <is>
          <t>maintenance/repairs</t>
        </is>
      </c>
      <c r="F16" t="inlineStr">
        <is>
          <t>Ace Home Center</t>
        </is>
      </c>
      <c r="G16" s="28" t="n">
        <v>0.7</v>
      </c>
      <c r="H16" s="28" t="n">
        <v>84</v>
      </c>
    </row>
    <row r="17">
      <c r="A17" s="25" t="n">
        <v>46100</v>
      </c>
      <c r="B17" t="inlineStr">
        <is>
          <t>Mansfield, TX</t>
        </is>
      </c>
      <c r="C17" t="inlineStr">
        <is>
          <t>360 County Road, Fairfield, TX</t>
        </is>
      </c>
      <c r="D17" t="n">
        <v>120</v>
      </c>
      <c r="E17" t="inlineStr">
        <is>
          <t>property work</t>
        </is>
      </c>
      <c r="F17" t="inlineStr">
        <is>
          <t>El Jimador Mexican Grill 7</t>
        </is>
      </c>
      <c r="G17" s="28" t="n">
        <v>0.7</v>
      </c>
      <c r="H17" s="28" t="n">
        <v>84</v>
      </c>
    </row>
    <row r="18">
      <c r="A18" s="25" t="n">
        <v>46101</v>
      </c>
      <c r="B18" t="inlineStr">
        <is>
          <t>Mansfield, TX</t>
        </is>
      </c>
      <c r="C18" t="inlineStr">
        <is>
          <t>360 County Road, Fairfield, TX</t>
        </is>
      </c>
      <c r="D18" t="n">
        <v>120</v>
      </c>
      <c r="E18" t="inlineStr">
        <is>
          <t>maintenance/repairs, transit fuel</t>
        </is>
      </c>
      <c r="F18" t="inlineStr">
        <is>
          <t>Gulf, Refund: Home Depot</t>
        </is>
      </c>
      <c r="G18" s="28" t="n">
        <v>0.7</v>
      </c>
      <c r="H18" s="28" t="n">
        <v>84</v>
      </c>
    </row>
    <row r="19">
      <c r="A19" s="25" t="n">
        <v>46106</v>
      </c>
      <c r="B19" t="inlineStr">
        <is>
          <t>Mansfield, TX</t>
        </is>
      </c>
      <c r="C19" t="inlineStr">
        <is>
          <t>360 County Road, Fairfield, TX</t>
        </is>
      </c>
      <c r="D19" t="n">
        <v>120</v>
      </c>
      <c r="E19" t="inlineStr">
        <is>
          <t>property work</t>
        </is>
      </c>
      <c r="F19" t="inlineStr">
        <is>
          <t>Braum's</t>
        </is>
      </c>
      <c r="G19" s="28" t="n">
        <v>0.7</v>
      </c>
      <c r="H19" s="28" t="n">
        <v>84</v>
      </c>
    </row>
    <row r="20">
      <c r="A20" s="25" t="n">
        <v>46113</v>
      </c>
      <c r="B20" t="inlineStr">
        <is>
          <t>Mansfield, TX</t>
        </is>
      </c>
      <c r="C20" t="inlineStr">
        <is>
          <t>360 County Road, Fairfield, TX</t>
        </is>
      </c>
      <c r="D20" t="n">
        <v>120</v>
      </c>
      <c r="E20" t="inlineStr">
        <is>
          <t>maintenance/repairs, property work, transit fuel</t>
        </is>
      </c>
      <c r="F20" t="inlineStr">
        <is>
          <t>Taco Bell, Home Depot, Shell</t>
        </is>
      </c>
      <c r="G20" s="28" t="n">
        <v>0.7</v>
      </c>
      <c r="H20" s="28" t="n">
        <v>84</v>
      </c>
    </row>
    <row r="21">
      <c r="A21" s="25" t="n">
        <v>46114</v>
      </c>
      <c r="B21" t="inlineStr">
        <is>
          <t>Mansfield, TX</t>
        </is>
      </c>
      <c r="C21" t="inlineStr">
        <is>
          <t>360 County Road, Fairfield, TX</t>
        </is>
      </c>
      <c r="D21" t="n">
        <v>120</v>
      </c>
      <c r="E21" t="inlineStr">
        <is>
          <t>property work, supplies</t>
        </is>
      </c>
      <c r="F21" t="inlineStr">
        <is>
          <t>Burger King, Cooper Farms, Brookshire Brothers</t>
        </is>
      </c>
      <c r="G21" s="28" t="n">
        <v>0.7</v>
      </c>
      <c r="H21" s="28" t="n">
        <v>84</v>
      </c>
    </row>
    <row r="22">
      <c r="A22" s="13" t="inlineStr">
        <is>
          <t>TOTAL</t>
        </is>
      </c>
      <c r="D22" s="13" t="n">
        <v>2400</v>
      </c>
      <c r="H22" s="29" t="n">
        <v>1680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2026-04-13T04:41:44Z</dcterms:created>
  <dcterms:modified xmlns:dcterms="http://purl.org/dc/terms/" xmlns:xsi="http://www.w3.org/2001/XMLSchema-instance" xsi:type="dcterms:W3CDTF">2026-04-13T07:13:20Z</dcterms:modified>
</cp:coreProperties>
</file>